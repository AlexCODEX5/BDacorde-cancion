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1E4086BA-ACBA-4781-B9A1-40C789F5866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" sheetId="1" r:id="rId1"/>
    <sheet name="IMPRIMIR" sheetId="6" r:id="rId2"/>
    <sheet name="Tabla de la cancion" sheetId="3" r:id="rId3"/>
    <sheet name="CANCIONES" sheetId="2" r:id="rId4"/>
    <sheet name="OPERACIONES DE FORMULAS" sheetId="5" r:id="rId5"/>
    <sheet name="Formula de busqueda (EJEMPLO)" sheetId="4" r:id="rId6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  <c r="C8" i="1"/>
  <c r="D8" i="1"/>
  <c r="E8" i="1"/>
  <c r="F8" i="1"/>
  <c r="B9" i="1"/>
  <c r="C9" i="1"/>
  <c r="D9" i="1"/>
  <c r="E9" i="1"/>
  <c r="F9" i="1"/>
  <c r="D300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5" i="5"/>
  <c r="C4" i="3" l="1"/>
  <c r="E5" i="3"/>
  <c r="G6" i="3"/>
  <c r="C8" i="3"/>
  <c r="E9" i="3"/>
  <c r="G10" i="3"/>
  <c r="C12" i="3"/>
  <c r="E13" i="3"/>
  <c r="G14" i="3"/>
  <c r="C16" i="3"/>
  <c r="E17" i="3"/>
  <c r="G18" i="3"/>
  <c r="C20" i="3"/>
  <c r="E21" i="3"/>
  <c r="G22" i="3"/>
  <c r="C24" i="3"/>
  <c r="E25" i="3"/>
  <c r="G26" i="3"/>
  <c r="C28" i="3"/>
  <c r="E29" i="3"/>
  <c r="G30" i="3"/>
  <c r="C32" i="3"/>
  <c r="E33" i="3"/>
  <c r="G34" i="3"/>
  <c r="C36" i="3"/>
  <c r="E37" i="3"/>
  <c r="G38" i="3"/>
  <c r="C40" i="3"/>
  <c r="E41" i="3"/>
  <c r="G42" i="3"/>
  <c r="C44" i="3"/>
  <c r="E45" i="3"/>
  <c r="G46" i="3"/>
  <c r="C48" i="3"/>
  <c r="E49" i="3"/>
  <c r="G50" i="3"/>
  <c r="C52" i="3"/>
  <c r="E53" i="3"/>
  <c r="G54" i="3"/>
  <c r="C56" i="3"/>
  <c r="E57" i="3"/>
  <c r="G58" i="3"/>
  <c r="C60" i="3"/>
  <c r="E61" i="3"/>
  <c r="G62" i="3"/>
  <c r="C64" i="3"/>
  <c r="E65" i="3"/>
  <c r="G66" i="3"/>
  <c r="C68" i="3"/>
  <c r="E69" i="3"/>
  <c r="G70" i="3"/>
  <c r="C72" i="3"/>
  <c r="E73" i="3"/>
  <c r="G74" i="3"/>
  <c r="C76" i="3"/>
  <c r="E77" i="3"/>
  <c r="G78" i="3"/>
  <c r="C80" i="3"/>
  <c r="E81" i="3"/>
  <c r="G82" i="3"/>
  <c r="C84" i="3"/>
  <c r="E85" i="3"/>
  <c r="G86" i="3"/>
  <c r="C88" i="3"/>
  <c r="E89" i="3"/>
  <c r="G90" i="3"/>
  <c r="C92" i="3"/>
  <c r="E93" i="3"/>
  <c r="G94" i="3"/>
  <c r="C96" i="3"/>
  <c r="E97" i="3"/>
  <c r="G98" i="3"/>
  <c r="C100" i="3"/>
  <c r="E101" i="3"/>
  <c r="G102" i="3"/>
  <c r="C104" i="3"/>
  <c r="E105" i="3"/>
  <c r="G106" i="3"/>
  <c r="C108" i="3"/>
  <c r="E109" i="3"/>
  <c r="G110" i="3"/>
  <c r="C112" i="3"/>
  <c r="E113" i="3"/>
  <c r="G114" i="3"/>
  <c r="C116" i="3"/>
  <c r="G4" i="3"/>
  <c r="E7" i="3"/>
  <c r="C10" i="3"/>
  <c r="G12" i="3"/>
  <c r="E15" i="3"/>
  <c r="C18" i="3"/>
  <c r="G20" i="3"/>
  <c r="E23" i="3"/>
  <c r="C26" i="3"/>
  <c r="G28" i="3"/>
  <c r="E31" i="3"/>
  <c r="C34" i="3"/>
  <c r="G36" i="3"/>
  <c r="E39" i="3"/>
  <c r="C42" i="3"/>
  <c r="G44" i="3"/>
  <c r="E47" i="3"/>
  <c r="C50" i="3"/>
  <c r="G52" i="3"/>
  <c r="E55" i="3"/>
  <c r="C58" i="3"/>
  <c r="G60" i="3"/>
  <c r="E63" i="3"/>
  <c r="C66" i="3"/>
  <c r="G68" i="3"/>
  <c r="E71" i="3"/>
  <c r="C74" i="3"/>
  <c r="G76" i="3"/>
  <c r="E79" i="3"/>
  <c r="C82" i="3"/>
  <c r="G84" i="3"/>
  <c r="E87" i="3"/>
  <c r="C90" i="3"/>
  <c r="G92" i="3"/>
  <c r="E95" i="3"/>
  <c r="C98" i="3"/>
  <c r="G100" i="3"/>
  <c r="E103" i="3"/>
  <c r="C106" i="3"/>
  <c r="G108" i="3"/>
  <c r="E111" i="3"/>
  <c r="C114" i="3"/>
  <c r="G116" i="3"/>
  <c r="C118" i="3"/>
  <c r="E119" i="3"/>
  <c r="G120" i="3"/>
  <c r="C122" i="3"/>
  <c r="E123" i="3"/>
  <c r="G124" i="3"/>
  <c r="C126" i="3"/>
  <c r="E127" i="3"/>
  <c r="G128" i="3"/>
  <c r="C130" i="3"/>
  <c r="E131" i="3"/>
  <c r="G132" i="3"/>
  <c r="C134" i="3"/>
  <c r="E135" i="3"/>
  <c r="G136" i="3"/>
  <c r="C138" i="3"/>
  <c r="E139" i="3"/>
  <c r="G140" i="3"/>
  <c r="C142" i="3"/>
  <c r="E143" i="3"/>
  <c r="G144" i="3"/>
  <c r="C146" i="3"/>
  <c r="E147" i="3"/>
  <c r="G148" i="3"/>
  <c r="C150" i="3"/>
  <c r="E151" i="3"/>
  <c r="G152" i="3"/>
  <c r="C154" i="3"/>
  <c r="E155" i="3"/>
  <c r="G156" i="3"/>
  <c r="C158" i="3"/>
  <c r="E159" i="3"/>
  <c r="G160" i="3"/>
  <c r="C162" i="3"/>
  <c r="E163" i="3"/>
  <c r="G164" i="3"/>
  <c r="C166" i="3"/>
  <c r="E167" i="3"/>
  <c r="G168" i="3"/>
  <c r="C170" i="3"/>
  <c r="E171" i="3"/>
  <c r="G172" i="3"/>
  <c r="C174" i="3"/>
  <c r="E175" i="3"/>
  <c r="G176" i="3"/>
  <c r="C178" i="3"/>
  <c r="E179" i="3"/>
  <c r="G180" i="3"/>
  <c r="C182" i="3"/>
  <c r="E183" i="3"/>
  <c r="G184" i="3"/>
  <c r="C186" i="3"/>
  <c r="E187" i="3"/>
  <c r="G188" i="3"/>
  <c r="C190" i="3"/>
  <c r="E191" i="3"/>
  <c r="G192" i="3"/>
  <c r="C194" i="3"/>
  <c r="E195" i="3"/>
  <c r="G196" i="3"/>
  <c r="C198" i="3"/>
  <c r="E199" i="3"/>
  <c r="G200" i="3"/>
  <c r="C202" i="3"/>
  <c r="E203" i="3"/>
  <c r="G204" i="3"/>
  <c r="C206" i="3"/>
  <c r="E207" i="3"/>
  <c r="G208" i="3"/>
  <c r="C210" i="3"/>
  <c r="E211" i="3"/>
  <c r="G212" i="3"/>
  <c r="C214" i="3"/>
  <c r="E215" i="3"/>
  <c r="G216" i="3"/>
  <c r="C218" i="3"/>
  <c r="E219" i="3"/>
  <c r="G220" i="3"/>
  <c r="C222" i="3"/>
  <c r="E223" i="3"/>
  <c r="G224" i="3"/>
  <c r="C226" i="3"/>
  <c r="E227" i="3"/>
  <c r="G228" i="3"/>
  <c r="C230" i="3"/>
  <c r="E231" i="3"/>
  <c r="G232" i="3"/>
  <c r="C234" i="3"/>
  <c r="E235" i="3"/>
  <c r="G236" i="3"/>
  <c r="C238" i="3"/>
  <c r="E239" i="3"/>
  <c r="G240" i="3"/>
  <c r="C242" i="3"/>
  <c r="E243" i="3"/>
  <c r="G244" i="3"/>
  <c r="C246" i="3"/>
  <c r="E247" i="3"/>
  <c r="G248" i="3"/>
  <c r="C250" i="3"/>
  <c r="E251" i="3"/>
  <c r="G252" i="3"/>
  <c r="C254" i="3"/>
  <c r="E255" i="3"/>
  <c r="G256" i="3"/>
  <c r="C258" i="3"/>
  <c r="E259" i="3"/>
  <c r="G260" i="3"/>
  <c r="C262" i="3"/>
  <c r="E263" i="3"/>
  <c r="G264" i="3"/>
  <c r="C266" i="3"/>
  <c r="E267" i="3"/>
  <c r="G268" i="3"/>
  <c r="C270" i="3"/>
  <c r="E271" i="3"/>
  <c r="D2" i="3"/>
  <c r="C6" i="3"/>
  <c r="G8" i="3"/>
  <c r="E11" i="3"/>
  <c r="C14" i="3"/>
  <c r="G16" i="3"/>
  <c r="E19" i="3"/>
  <c r="C22" i="3"/>
  <c r="G24" i="3"/>
  <c r="E27" i="3"/>
  <c r="C30" i="3"/>
  <c r="G2" i="3"/>
  <c r="G270" i="3"/>
  <c r="C268" i="3"/>
  <c r="E265" i="3"/>
  <c r="G262" i="3"/>
  <c r="C260" i="3"/>
  <c r="E257" i="3"/>
  <c r="G254" i="3"/>
  <c r="C252" i="3"/>
  <c r="E249" i="3"/>
  <c r="G246" i="3"/>
  <c r="C244" i="3"/>
  <c r="E241" i="3"/>
  <c r="G238" i="3"/>
  <c r="C236" i="3"/>
  <c r="E233" i="3"/>
  <c r="G230" i="3"/>
  <c r="C228" i="3"/>
  <c r="E225" i="3"/>
  <c r="G222" i="3"/>
  <c r="C220" i="3"/>
  <c r="E217" i="3"/>
  <c r="G214" i="3"/>
  <c r="C212" i="3"/>
  <c r="E209" i="3"/>
  <c r="G206" i="3"/>
  <c r="C204" i="3"/>
  <c r="E201" i="3"/>
  <c r="G198" i="3"/>
  <c r="C196" i="3"/>
  <c r="E193" i="3"/>
  <c r="G190" i="3"/>
  <c r="C188" i="3"/>
  <c r="E185" i="3"/>
  <c r="G182" i="3"/>
  <c r="C180" i="3"/>
  <c r="E177" i="3"/>
  <c r="G174" i="3"/>
  <c r="C172" i="3"/>
  <c r="E169" i="3"/>
  <c r="G166" i="3"/>
  <c r="C164" i="3"/>
  <c r="E161" i="3"/>
  <c r="G158" i="3"/>
  <c r="C156" i="3"/>
  <c r="E153" i="3"/>
  <c r="G150" i="3"/>
  <c r="C148" i="3"/>
  <c r="E145" i="3"/>
  <c r="G142" i="3"/>
  <c r="C140" i="3"/>
  <c r="E137" i="3"/>
  <c r="G134" i="3"/>
  <c r="C132" i="3"/>
  <c r="E129" i="3"/>
  <c r="G126" i="3"/>
  <c r="C124" i="3"/>
  <c r="E121" i="3"/>
  <c r="G118" i="3"/>
  <c r="E115" i="3"/>
  <c r="C110" i="3"/>
  <c r="G104" i="3"/>
  <c r="E99" i="3"/>
  <c r="C94" i="3"/>
  <c r="G88" i="3"/>
  <c r="E83" i="3"/>
  <c r="C78" i="3"/>
  <c r="G72" i="3"/>
  <c r="E67" i="3"/>
  <c r="C62" i="3"/>
  <c r="G56" i="3"/>
  <c r="E51" i="3"/>
  <c r="C46" i="3"/>
  <c r="G40" i="3"/>
  <c r="E35" i="3"/>
  <c r="B2" i="3"/>
  <c r="E269" i="3"/>
  <c r="G266" i="3"/>
  <c r="C264" i="3"/>
  <c r="E261" i="3"/>
  <c r="G258" i="3"/>
  <c r="C256" i="3"/>
  <c r="E253" i="3"/>
  <c r="G250" i="3"/>
  <c r="C248" i="3"/>
  <c r="E245" i="3"/>
  <c r="G242" i="3"/>
  <c r="C240" i="3"/>
  <c r="E237" i="3"/>
  <c r="G234" i="3"/>
  <c r="C232" i="3"/>
  <c r="E229" i="3"/>
  <c r="G226" i="3"/>
  <c r="C224" i="3"/>
  <c r="E221" i="3"/>
  <c r="G218" i="3"/>
  <c r="C216" i="3"/>
  <c r="E213" i="3"/>
  <c r="G210" i="3"/>
  <c r="C208" i="3"/>
  <c r="E205" i="3"/>
  <c r="G202" i="3"/>
  <c r="C200" i="3"/>
  <c r="E197" i="3"/>
  <c r="G194" i="3"/>
  <c r="C192" i="3"/>
  <c r="E189" i="3"/>
  <c r="G186" i="3"/>
  <c r="C184" i="3"/>
  <c r="E181" i="3"/>
  <c r="G178" i="3"/>
  <c r="C176" i="3"/>
  <c r="E173" i="3"/>
  <c r="G170" i="3"/>
  <c r="C168" i="3"/>
  <c r="E165" i="3"/>
  <c r="G162" i="3"/>
  <c r="C160" i="3"/>
  <c r="E157" i="3"/>
  <c r="G154" i="3"/>
  <c r="C152" i="3"/>
  <c r="E149" i="3"/>
  <c r="G146" i="3"/>
  <c r="C144" i="3"/>
  <c r="E141" i="3"/>
  <c r="G138" i="3"/>
  <c r="C136" i="3"/>
  <c r="E133" i="3"/>
  <c r="G130" i="3"/>
  <c r="C128" i="3"/>
  <c r="E125" i="3"/>
  <c r="G122" i="3"/>
  <c r="C120" i="3"/>
  <c r="E117" i="3"/>
  <c r="G112" i="3"/>
  <c r="E107" i="3"/>
  <c r="C102" i="3"/>
  <c r="G96" i="3"/>
  <c r="E91" i="3"/>
  <c r="C86" i="3"/>
  <c r="G80" i="3"/>
  <c r="E75" i="3"/>
  <c r="C70" i="3"/>
  <c r="G64" i="3"/>
  <c r="E59" i="3"/>
  <c r="C54" i="3"/>
  <c r="G48" i="3"/>
  <c r="E43" i="3"/>
  <c r="C38" i="3"/>
  <c r="G32" i="3"/>
  <c r="B4" i="3"/>
  <c r="D4" i="3"/>
  <c r="F4" i="3"/>
  <c r="B5" i="3"/>
  <c r="D5" i="3"/>
  <c r="F5" i="3"/>
  <c r="B6" i="3"/>
  <c r="D6" i="3"/>
  <c r="F6" i="3"/>
  <c r="B7" i="3"/>
  <c r="D7" i="3"/>
  <c r="F7" i="3"/>
  <c r="B8" i="3"/>
  <c r="D8" i="3"/>
  <c r="F8" i="3"/>
  <c r="B9" i="3"/>
  <c r="D9" i="3"/>
  <c r="F9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D17" i="3"/>
  <c r="F17" i="3"/>
  <c r="B18" i="3"/>
  <c r="D18" i="3"/>
  <c r="F18" i="3"/>
  <c r="B19" i="3"/>
  <c r="D19" i="3"/>
  <c r="F19" i="3"/>
  <c r="B20" i="3"/>
  <c r="D20" i="3"/>
  <c r="F20" i="3"/>
  <c r="B21" i="3"/>
  <c r="D21" i="3"/>
  <c r="F21" i="3"/>
  <c r="B22" i="3"/>
  <c r="D22" i="3"/>
  <c r="F22" i="3"/>
  <c r="B23" i="3"/>
  <c r="D23" i="3"/>
  <c r="F23" i="3"/>
  <c r="B24" i="3"/>
  <c r="D24" i="3"/>
  <c r="F24" i="3"/>
  <c r="B25" i="3"/>
  <c r="D25" i="3"/>
  <c r="F25" i="3"/>
  <c r="B26" i="3"/>
  <c r="D26" i="3"/>
  <c r="F26" i="3"/>
  <c r="B27" i="3"/>
  <c r="D27" i="3"/>
  <c r="F27" i="3"/>
  <c r="B28" i="3"/>
  <c r="D28" i="3"/>
  <c r="F28" i="3"/>
  <c r="B29" i="3"/>
  <c r="D29" i="3"/>
  <c r="F29" i="3"/>
  <c r="B30" i="3"/>
  <c r="D30" i="3"/>
  <c r="F30" i="3"/>
  <c r="B31" i="3"/>
  <c r="D31" i="3"/>
  <c r="F31" i="3"/>
  <c r="B32" i="3"/>
  <c r="D32" i="3"/>
  <c r="F32" i="3"/>
  <c r="B33" i="3"/>
  <c r="D33" i="3"/>
  <c r="F33" i="3"/>
  <c r="B34" i="3"/>
  <c r="D34" i="3"/>
  <c r="F34" i="3"/>
  <c r="B35" i="3"/>
  <c r="D35" i="3"/>
  <c r="F35" i="3"/>
  <c r="B36" i="3"/>
  <c r="D36" i="3"/>
  <c r="F36" i="3"/>
  <c r="B37" i="3"/>
  <c r="D37" i="3"/>
  <c r="F37" i="3"/>
  <c r="B38" i="3"/>
  <c r="D38" i="3"/>
  <c r="F38" i="3"/>
  <c r="B39" i="3"/>
  <c r="D39" i="3"/>
  <c r="F39" i="3"/>
  <c r="B40" i="3"/>
  <c r="D40" i="3"/>
  <c r="F40" i="3"/>
  <c r="B41" i="3"/>
  <c r="D41" i="3"/>
  <c r="F41" i="3"/>
  <c r="B42" i="3"/>
  <c r="D42" i="3"/>
  <c r="F42" i="3"/>
  <c r="B43" i="3"/>
  <c r="D43" i="3"/>
  <c r="F43" i="3"/>
  <c r="B44" i="3"/>
  <c r="D44" i="3"/>
  <c r="F44" i="3"/>
  <c r="B45" i="3"/>
  <c r="D45" i="3"/>
  <c r="F45" i="3"/>
  <c r="B46" i="3"/>
  <c r="D46" i="3"/>
  <c r="F46" i="3"/>
  <c r="B47" i="3"/>
  <c r="D47" i="3"/>
  <c r="F47" i="3"/>
  <c r="B48" i="3"/>
  <c r="D48" i="3"/>
  <c r="F48" i="3"/>
  <c r="B49" i="3"/>
  <c r="D49" i="3"/>
  <c r="F49" i="3"/>
  <c r="B50" i="3"/>
  <c r="D50" i="3"/>
  <c r="F50" i="3"/>
  <c r="B51" i="3"/>
  <c r="D51" i="3"/>
  <c r="F51" i="3"/>
  <c r="B52" i="3"/>
  <c r="D52" i="3"/>
  <c r="F52" i="3"/>
  <c r="B53" i="3"/>
  <c r="D53" i="3"/>
  <c r="F53" i="3"/>
  <c r="B54" i="3"/>
  <c r="D54" i="3"/>
  <c r="F54" i="3"/>
  <c r="B55" i="3"/>
  <c r="D55" i="3"/>
  <c r="F55" i="3"/>
  <c r="B56" i="3"/>
  <c r="D56" i="3"/>
  <c r="F56" i="3"/>
  <c r="B57" i="3"/>
  <c r="D57" i="3"/>
  <c r="F57" i="3"/>
  <c r="B58" i="3"/>
  <c r="D58" i="3"/>
  <c r="F58" i="3"/>
  <c r="B59" i="3"/>
  <c r="D59" i="3"/>
  <c r="F59" i="3"/>
  <c r="B60" i="3"/>
  <c r="D60" i="3"/>
  <c r="F60" i="3"/>
  <c r="B61" i="3"/>
  <c r="D61" i="3"/>
  <c r="F61" i="3"/>
  <c r="B62" i="3"/>
  <c r="D62" i="3"/>
  <c r="F62" i="3"/>
  <c r="B63" i="3"/>
  <c r="D63" i="3"/>
  <c r="F63" i="3"/>
  <c r="B64" i="3"/>
  <c r="D64" i="3"/>
  <c r="F64" i="3"/>
  <c r="B65" i="3"/>
  <c r="D65" i="3"/>
  <c r="F65" i="3"/>
  <c r="B66" i="3"/>
  <c r="D66" i="3"/>
  <c r="F66" i="3"/>
  <c r="B67" i="3"/>
  <c r="D67" i="3"/>
  <c r="F67" i="3"/>
  <c r="B68" i="3"/>
  <c r="D68" i="3"/>
  <c r="F68" i="3"/>
  <c r="B69" i="3"/>
  <c r="D69" i="3"/>
  <c r="F69" i="3"/>
  <c r="B70" i="3"/>
  <c r="D70" i="3"/>
  <c r="F70" i="3"/>
  <c r="B71" i="3"/>
  <c r="D71" i="3"/>
  <c r="F71" i="3"/>
  <c r="B72" i="3"/>
  <c r="D72" i="3"/>
  <c r="F72" i="3"/>
  <c r="B73" i="3"/>
  <c r="D73" i="3"/>
  <c r="F73" i="3"/>
  <c r="B74" i="3"/>
  <c r="D74" i="3"/>
  <c r="F74" i="3"/>
  <c r="B75" i="3"/>
  <c r="D75" i="3"/>
  <c r="F75" i="3"/>
  <c r="B76" i="3"/>
  <c r="D76" i="3"/>
  <c r="F76" i="3"/>
  <c r="B77" i="3"/>
  <c r="D77" i="3"/>
  <c r="F77" i="3"/>
  <c r="B78" i="3"/>
  <c r="D78" i="3"/>
  <c r="F78" i="3"/>
  <c r="B79" i="3"/>
  <c r="D79" i="3"/>
  <c r="F79" i="3"/>
  <c r="B80" i="3"/>
  <c r="D80" i="3"/>
  <c r="F80" i="3"/>
  <c r="B81" i="3"/>
  <c r="D81" i="3"/>
  <c r="F81" i="3"/>
  <c r="B82" i="3"/>
  <c r="D82" i="3"/>
  <c r="F82" i="3"/>
  <c r="B83" i="3"/>
  <c r="D83" i="3"/>
  <c r="F83" i="3"/>
  <c r="B84" i="3"/>
  <c r="D84" i="3"/>
  <c r="F84" i="3"/>
  <c r="B85" i="3"/>
  <c r="D85" i="3"/>
  <c r="F85" i="3"/>
  <c r="B86" i="3"/>
  <c r="D86" i="3"/>
  <c r="F86" i="3"/>
  <c r="B87" i="3"/>
  <c r="D87" i="3"/>
  <c r="F87" i="3"/>
  <c r="B88" i="3"/>
  <c r="D88" i="3"/>
  <c r="F88" i="3"/>
  <c r="B89" i="3"/>
  <c r="D89" i="3"/>
  <c r="F89" i="3"/>
  <c r="B90" i="3"/>
  <c r="D90" i="3"/>
  <c r="F90" i="3"/>
  <c r="B91" i="3"/>
  <c r="D91" i="3"/>
  <c r="F91" i="3"/>
  <c r="B92" i="3"/>
  <c r="D92" i="3"/>
  <c r="F92" i="3"/>
  <c r="B93" i="3"/>
  <c r="D93" i="3"/>
  <c r="F93" i="3"/>
  <c r="B94" i="3"/>
  <c r="D94" i="3"/>
  <c r="F94" i="3"/>
  <c r="B95" i="3"/>
  <c r="D95" i="3"/>
  <c r="F95" i="3"/>
  <c r="B96" i="3"/>
  <c r="D96" i="3"/>
  <c r="F96" i="3"/>
  <c r="B97" i="3"/>
  <c r="D97" i="3"/>
  <c r="F97" i="3"/>
  <c r="B98" i="3"/>
  <c r="D98" i="3"/>
  <c r="F98" i="3"/>
  <c r="B99" i="3"/>
  <c r="D99" i="3"/>
  <c r="F99" i="3"/>
  <c r="B100" i="3"/>
  <c r="D100" i="3"/>
  <c r="F100" i="3"/>
  <c r="B101" i="3"/>
  <c r="D101" i="3"/>
  <c r="F101" i="3"/>
  <c r="B102" i="3"/>
  <c r="D102" i="3"/>
  <c r="F102" i="3"/>
  <c r="B103" i="3"/>
  <c r="D103" i="3"/>
  <c r="F103" i="3"/>
  <c r="B104" i="3"/>
  <c r="D104" i="3"/>
  <c r="F104" i="3"/>
  <c r="B105" i="3"/>
  <c r="D105" i="3"/>
  <c r="F105" i="3"/>
  <c r="B106" i="3"/>
  <c r="D106" i="3"/>
  <c r="F106" i="3"/>
  <c r="B107" i="3"/>
  <c r="D107" i="3"/>
  <c r="F107" i="3"/>
  <c r="B108" i="3"/>
  <c r="D108" i="3"/>
  <c r="F108" i="3"/>
  <c r="B109" i="3"/>
  <c r="D109" i="3"/>
  <c r="F109" i="3"/>
  <c r="B110" i="3"/>
  <c r="D110" i="3"/>
  <c r="F110" i="3"/>
  <c r="B111" i="3"/>
  <c r="D111" i="3"/>
  <c r="F111" i="3"/>
  <c r="B112" i="3"/>
  <c r="D112" i="3"/>
  <c r="F112" i="3"/>
  <c r="B113" i="3"/>
  <c r="D113" i="3"/>
  <c r="F113" i="3"/>
  <c r="B114" i="3"/>
  <c r="D114" i="3"/>
  <c r="F114" i="3"/>
  <c r="B115" i="3"/>
  <c r="D115" i="3"/>
  <c r="F115" i="3"/>
  <c r="B116" i="3"/>
  <c r="D116" i="3"/>
  <c r="F116" i="3"/>
  <c r="B117" i="3"/>
  <c r="D117" i="3"/>
  <c r="F117" i="3"/>
  <c r="B118" i="3"/>
  <c r="D118" i="3"/>
  <c r="F118" i="3"/>
  <c r="B119" i="3"/>
  <c r="D119" i="3"/>
  <c r="F119" i="3"/>
  <c r="B120" i="3"/>
  <c r="D120" i="3"/>
  <c r="F120" i="3"/>
  <c r="B121" i="3"/>
  <c r="D121" i="3"/>
  <c r="F121" i="3"/>
  <c r="B122" i="3"/>
  <c r="D122" i="3"/>
  <c r="F122" i="3"/>
  <c r="B123" i="3"/>
  <c r="D123" i="3"/>
  <c r="F123" i="3"/>
  <c r="B124" i="3"/>
  <c r="D124" i="3"/>
  <c r="F124" i="3"/>
  <c r="B125" i="3"/>
  <c r="D125" i="3"/>
  <c r="F125" i="3"/>
  <c r="B126" i="3"/>
  <c r="D126" i="3"/>
  <c r="F126" i="3"/>
  <c r="B127" i="3"/>
  <c r="D127" i="3"/>
  <c r="F127" i="3"/>
  <c r="B128" i="3"/>
  <c r="D128" i="3"/>
  <c r="F128" i="3"/>
  <c r="B129" i="3"/>
  <c r="D129" i="3"/>
  <c r="F129" i="3"/>
  <c r="B130" i="3"/>
  <c r="D130" i="3"/>
  <c r="F130" i="3"/>
  <c r="B131" i="3"/>
  <c r="D131" i="3"/>
  <c r="F131" i="3"/>
  <c r="B132" i="3"/>
  <c r="D132" i="3"/>
  <c r="F132" i="3"/>
  <c r="B133" i="3"/>
  <c r="D133" i="3"/>
  <c r="F133" i="3"/>
  <c r="B134" i="3"/>
  <c r="D134" i="3"/>
  <c r="F134" i="3"/>
  <c r="B135" i="3"/>
  <c r="D135" i="3"/>
  <c r="F135" i="3"/>
  <c r="B136" i="3"/>
  <c r="D136" i="3"/>
  <c r="F136" i="3"/>
  <c r="B137" i="3"/>
  <c r="D137" i="3"/>
  <c r="F137" i="3"/>
  <c r="B138" i="3"/>
  <c r="D138" i="3"/>
  <c r="F138" i="3"/>
  <c r="B139" i="3"/>
  <c r="D139" i="3"/>
  <c r="F139" i="3"/>
  <c r="B140" i="3"/>
  <c r="D140" i="3"/>
  <c r="F140" i="3"/>
  <c r="B141" i="3"/>
  <c r="D141" i="3"/>
  <c r="F141" i="3"/>
  <c r="B142" i="3"/>
  <c r="D142" i="3"/>
  <c r="F142" i="3"/>
  <c r="B143" i="3"/>
  <c r="D143" i="3"/>
  <c r="F143" i="3"/>
  <c r="B144" i="3"/>
  <c r="D144" i="3"/>
  <c r="F144" i="3"/>
  <c r="B145" i="3"/>
  <c r="D145" i="3"/>
  <c r="F145" i="3"/>
  <c r="B146" i="3"/>
  <c r="D146" i="3"/>
  <c r="F146" i="3"/>
  <c r="B147" i="3"/>
  <c r="D147" i="3"/>
  <c r="F147" i="3"/>
  <c r="B148" i="3"/>
  <c r="D148" i="3"/>
  <c r="F148" i="3"/>
  <c r="B149" i="3"/>
  <c r="D149" i="3"/>
  <c r="F149" i="3"/>
  <c r="B150" i="3"/>
  <c r="D150" i="3"/>
  <c r="F150" i="3"/>
  <c r="B151" i="3"/>
  <c r="D151" i="3"/>
  <c r="F151" i="3"/>
  <c r="B152" i="3"/>
  <c r="D152" i="3"/>
  <c r="F152" i="3"/>
  <c r="B153" i="3"/>
  <c r="D153" i="3"/>
  <c r="F153" i="3"/>
  <c r="B154" i="3"/>
  <c r="D154" i="3"/>
  <c r="F154" i="3"/>
  <c r="B155" i="3"/>
  <c r="D155" i="3"/>
  <c r="F155" i="3"/>
  <c r="B156" i="3"/>
  <c r="D156" i="3"/>
  <c r="F156" i="3"/>
  <c r="B157" i="3"/>
  <c r="D157" i="3"/>
  <c r="F157" i="3"/>
  <c r="B158" i="3"/>
  <c r="D158" i="3"/>
  <c r="F158" i="3"/>
  <c r="B159" i="3"/>
  <c r="D159" i="3"/>
  <c r="F159" i="3"/>
  <c r="B160" i="3"/>
  <c r="D160" i="3"/>
  <c r="F160" i="3"/>
  <c r="B161" i="3"/>
  <c r="D161" i="3"/>
  <c r="F161" i="3"/>
  <c r="B162" i="3"/>
  <c r="D162" i="3"/>
  <c r="F162" i="3"/>
  <c r="B163" i="3"/>
  <c r="D163" i="3"/>
  <c r="F163" i="3"/>
  <c r="B164" i="3"/>
  <c r="D164" i="3"/>
  <c r="F164" i="3"/>
  <c r="B165" i="3"/>
  <c r="D165" i="3"/>
  <c r="F165" i="3"/>
  <c r="B166" i="3"/>
  <c r="D166" i="3"/>
  <c r="F166" i="3"/>
  <c r="B167" i="3"/>
  <c r="D167" i="3"/>
  <c r="F167" i="3"/>
  <c r="B168" i="3"/>
  <c r="D168" i="3"/>
  <c r="F168" i="3"/>
  <c r="B169" i="3"/>
  <c r="D169" i="3"/>
  <c r="F169" i="3"/>
  <c r="B170" i="3"/>
  <c r="D170" i="3"/>
  <c r="F170" i="3"/>
  <c r="B171" i="3"/>
  <c r="D171" i="3"/>
  <c r="F171" i="3"/>
  <c r="B172" i="3"/>
  <c r="D172" i="3"/>
  <c r="F172" i="3"/>
  <c r="B173" i="3"/>
  <c r="D173" i="3"/>
  <c r="F173" i="3"/>
  <c r="B174" i="3"/>
  <c r="D174" i="3"/>
  <c r="F174" i="3"/>
  <c r="B175" i="3"/>
  <c r="D175" i="3"/>
  <c r="F175" i="3"/>
  <c r="B176" i="3"/>
  <c r="D176" i="3"/>
  <c r="F176" i="3"/>
  <c r="B177" i="3"/>
  <c r="D177" i="3"/>
  <c r="F177" i="3"/>
  <c r="B178" i="3"/>
  <c r="D178" i="3"/>
  <c r="F178" i="3"/>
  <c r="B179" i="3"/>
  <c r="D179" i="3"/>
  <c r="F179" i="3"/>
  <c r="B180" i="3"/>
  <c r="D180" i="3"/>
  <c r="F180" i="3"/>
  <c r="B181" i="3"/>
  <c r="D181" i="3"/>
  <c r="F181" i="3"/>
  <c r="B182" i="3"/>
  <c r="D182" i="3"/>
  <c r="F182" i="3"/>
  <c r="B183" i="3"/>
  <c r="D183" i="3"/>
  <c r="F183" i="3"/>
  <c r="B184" i="3"/>
  <c r="D184" i="3"/>
  <c r="F184" i="3"/>
  <c r="B185" i="3"/>
  <c r="D185" i="3"/>
  <c r="F185" i="3"/>
  <c r="B186" i="3"/>
  <c r="D186" i="3"/>
  <c r="F186" i="3"/>
  <c r="B187" i="3"/>
  <c r="D187" i="3"/>
  <c r="F187" i="3"/>
  <c r="B188" i="3"/>
  <c r="D188" i="3"/>
  <c r="F188" i="3"/>
  <c r="B189" i="3"/>
  <c r="D189" i="3"/>
  <c r="F189" i="3"/>
  <c r="B190" i="3"/>
  <c r="D190" i="3"/>
  <c r="F190" i="3"/>
  <c r="B191" i="3"/>
  <c r="D191" i="3"/>
  <c r="F191" i="3"/>
  <c r="B192" i="3"/>
  <c r="D192" i="3"/>
  <c r="F192" i="3"/>
  <c r="B193" i="3"/>
  <c r="D193" i="3"/>
  <c r="F193" i="3"/>
  <c r="B194" i="3"/>
  <c r="D194" i="3"/>
  <c r="F194" i="3"/>
  <c r="B195" i="3"/>
  <c r="D195" i="3"/>
  <c r="F195" i="3"/>
  <c r="B196" i="3"/>
  <c r="D196" i="3"/>
  <c r="F196" i="3"/>
  <c r="B197" i="3"/>
  <c r="D197" i="3"/>
  <c r="F197" i="3"/>
  <c r="B198" i="3"/>
  <c r="D198" i="3"/>
  <c r="F198" i="3"/>
  <c r="B199" i="3"/>
  <c r="D199" i="3"/>
  <c r="F199" i="3"/>
  <c r="B200" i="3"/>
  <c r="D200" i="3"/>
  <c r="F200" i="3"/>
  <c r="B201" i="3"/>
  <c r="D201" i="3"/>
  <c r="F201" i="3"/>
  <c r="B202" i="3"/>
  <c r="D202" i="3"/>
  <c r="F202" i="3"/>
  <c r="B203" i="3"/>
  <c r="D203" i="3"/>
  <c r="F203" i="3"/>
  <c r="B204" i="3"/>
  <c r="D204" i="3"/>
  <c r="F204" i="3"/>
  <c r="B205" i="3"/>
  <c r="D205" i="3"/>
  <c r="F205" i="3"/>
  <c r="B206" i="3"/>
  <c r="D206" i="3"/>
  <c r="F206" i="3"/>
  <c r="B207" i="3"/>
  <c r="D207" i="3"/>
  <c r="F207" i="3"/>
  <c r="B208" i="3"/>
  <c r="D208" i="3"/>
  <c r="F208" i="3"/>
  <c r="B209" i="3"/>
  <c r="D209" i="3"/>
  <c r="F209" i="3"/>
  <c r="B210" i="3"/>
  <c r="D210" i="3"/>
  <c r="F210" i="3"/>
  <c r="B211" i="3"/>
  <c r="D211" i="3"/>
  <c r="F211" i="3"/>
  <c r="B212" i="3"/>
  <c r="D212" i="3"/>
  <c r="F212" i="3"/>
  <c r="B213" i="3"/>
  <c r="D213" i="3"/>
  <c r="F213" i="3"/>
  <c r="B214" i="3"/>
  <c r="D214" i="3"/>
  <c r="F214" i="3"/>
  <c r="B215" i="3"/>
  <c r="D215" i="3"/>
  <c r="F215" i="3"/>
  <c r="B216" i="3"/>
  <c r="D216" i="3"/>
  <c r="F216" i="3"/>
  <c r="B217" i="3"/>
  <c r="D217" i="3"/>
  <c r="F217" i="3"/>
  <c r="B218" i="3"/>
  <c r="D218" i="3"/>
  <c r="F218" i="3"/>
  <c r="B219" i="3"/>
  <c r="D219" i="3"/>
  <c r="F219" i="3"/>
  <c r="B220" i="3"/>
  <c r="D220" i="3"/>
  <c r="F220" i="3"/>
  <c r="B221" i="3"/>
  <c r="D221" i="3"/>
  <c r="F221" i="3"/>
  <c r="B222" i="3"/>
  <c r="D222" i="3"/>
  <c r="F222" i="3"/>
  <c r="B223" i="3"/>
  <c r="D223" i="3"/>
  <c r="F223" i="3"/>
  <c r="B224" i="3"/>
  <c r="D224" i="3"/>
  <c r="F224" i="3"/>
  <c r="B225" i="3"/>
  <c r="D225" i="3"/>
  <c r="F225" i="3"/>
  <c r="B226" i="3"/>
  <c r="D226" i="3"/>
  <c r="F226" i="3"/>
  <c r="B227" i="3"/>
  <c r="D227" i="3"/>
  <c r="F227" i="3"/>
  <c r="B228" i="3"/>
  <c r="D228" i="3"/>
  <c r="F228" i="3"/>
  <c r="B229" i="3"/>
  <c r="D229" i="3"/>
  <c r="F229" i="3"/>
  <c r="B230" i="3"/>
  <c r="D230" i="3"/>
  <c r="F230" i="3"/>
  <c r="B231" i="3"/>
  <c r="D231" i="3"/>
  <c r="F231" i="3"/>
  <c r="B232" i="3"/>
  <c r="D232" i="3"/>
  <c r="F232" i="3"/>
  <c r="B233" i="3"/>
  <c r="D233" i="3"/>
  <c r="F233" i="3"/>
  <c r="B234" i="3"/>
  <c r="D234" i="3"/>
  <c r="F234" i="3"/>
  <c r="B235" i="3"/>
  <c r="D235" i="3"/>
  <c r="F235" i="3"/>
  <c r="B236" i="3"/>
  <c r="D236" i="3"/>
  <c r="F236" i="3"/>
  <c r="B237" i="3"/>
  <c r="D237" i="3"/>
  <c r="F237" i="3"/>
  <c r="B238" i="3"/>
  <c r="D238" i="3"/>
  <c r="F238" i="3"/>
  <c r="B239" i="3"/>
  <c r="D239" i="3"/>
  <c r="F239" i="3"/>
  <c r="B240" i="3"/>
  <c r="D240" i="3"/>
  <c r="F240" i="3"/>
  <c r="B241" i="3"/>
  <c r="D241" i="3"/>
  <c r="F241" i="3"/>
  <c r="B242" i="3"/>
  <c r="D242" i="3"/>
  <c r="F242" i="3"/>
  <c r="B243" i="3"/>
  <c r="D243" i="3"/>
  <c r="F243" i="3"/>
  <c r="B244" i="3"/>
  <c r="D244" i="3"/>
  <c r="F244" i="3"/>
  <c r="B245" i="3"/>
  <c r="D245" i="3"/>
  <c r="F245" i="3"/>
  <c r="B246" i="3"/>
  <c r="D246" i="3"/>
  <c r="F246" i="3"/>
  <c r="B247" i="3"/>
  <c r="D247" i="3"/>
  <c r="F247" i="3"/>
  <c r="B248" i="3"/>
  <c r="D248" i="3"/>
  <c r="F248" i="3"/>
  <c r="B249" i="3"/>
  <c r="D249" i="3"/>
  <c r="F249" i="3"/>
  <c r="B250" i="3"/>
  <c r="D250" i="3"/>
  <c r="F250" i="3"/>
  <c r="B251" i="3"/>
  <c r="D251" i="3"/>
  <c r="F251" i="3"/>
  <c r="B252" i="3"/>
  <c r="D252" i="3"/>
  <c r="F252" i="3"/>
  <c r="B253" i="3"/>
  <c r="D253" i="3"/>
  <c r="F253" i="3"/>
  <c r="B254" i="3"/>
  <c r="D254" i="3"/>
  <c r="F254" i="3"/>
  <c r="B255" i="3"/>
  <c r="D255" i="3"/>
  <c r="F255" i="3"/>
  <c r="B256" i="3"/>
  <c r="D256" i="3"/>
  <c r="F256" i="3"/>
  <c r="B257" i="3"/>
  <c r="D257" i="3"/>
  <c r="F257" i="3"/>
  <c r="B258" i="3"/>
  <c r="D258" i="3"/>
  <c r="F258" i="3"/>
  <c r="B259" i="3"/>
  <c r="D259" i="3"/>
  <c r="F259" i="3"/>
  <c r="B260" i="3"/>
  <c r="D260" i="3"/>
  <c r="F260" i="3"/>
  <c r="B261" i="3"/>
  <c r="D261" i="3"/>
  <c r="F261" i="3"/>
  <c r="B262" i="3"/>
  <c r="D262" i="3"/>
  <c r="F262" i="3"/>
  <c r="B263" i="3"/>
  <c r="D263" i="3"/>
  <c r="F263" i="3"/>
  <c r="B264" i="3"/>
  <c r="D264" i="3"/>
  <c r="F264" i="3"/>
  <c r="B265" i="3"/>
  <c r="D265" i="3"/>
  <c r="F265" i="3"/>
  <c r="B266" i="3"/>
  <c r="D266" i="3"/>
  <c r="F266" i="3"/>
  <c r="B267" i="3"/>
  <c r="D267" i="3"/>
  <c r="F267" i="3"/>
  <c r="B268" i="3"/>
  <c r="D268" i="3"/>
  <c r="F268" i="3"/>
  <c r="B269" i="3"/>
  <c r="D269" i="3"/>
  <c r="F269" i="3"/>
  <c r="B270" i="3"/>
  <c r="D270" i="3"/>
  <c r="F270" i="3"/>
  <c r="B271" i="3"/>
  <c r="D271" i="3"/>
  <c r="F271" i="3"/>
  <c r="B3" i="3"/>
  <c r="C3" i="3"/>
  <c r="D3" i="3"/>
  <c r="E3" i="3"/>
  <c r="G3" i="3"/>
  <c r="F3" i="3"/>
  <c r="F2" i="3"/>
  <c r="E2" i="3"/>
  <c r="C2" i="3"/>
  <c r="G271" i="3"/>
  <c r="C271" i="3"/>
  <c r="E270" i="3"/>
  <c r="G269" i="3"/>
  <c r="C269" i="3"/>
  <c r="E268" i="3"/>
  <c r="G267" i="3"/>
  <c r="C267" i="3"/>
  <c r="E266" i="3"/>
  <c r="G265" i="3"/>
  <c r="C265" i="3"/>
  <c r="E264" i="3"/>
  <c r="G263" i="3"/>
  <c r="C263" i="3"/>
  <c r="E262" i="3"/>
  <c r="G261" i="3"/>
  <c r="C261" i="3"/>
  <c r="E260" i="3"/>
  <c r="G259" i="3"/>
  <c r="C259" i="3"/>
  <c r="E258" i="3"/>
  <c r="G257" i="3"/>
  <c r="C257" i="3"/>
  <c r="E256" i="3"/>
  <c r="G255" i="3"/>
  <c r="C255" i="3"/>
  <c r="E254" i="3"/>
  <c r="G253" i="3"/>
  <c r="C253" i="3"/>
  <c r="E252" i="3"/>
  <c r="G251" i="3"/>
  <c r="C251" i="3"/>
  <c r="E250" i="3"/>
  <c r="G249" i="3"/>
  <c r="C249" i="3"/>
  <c r="E248" i="3"/>
  <c r="G247" i="3"/>
  <c r="C247" i="3"/>
  <c r="E246" i="3"/>
  <c r="G245" i="3"/>
  <c r="C245" i="3"/>
  <c r="E244" i="3"/>
  <c r="G243" i="3"/>
  <c r="C243" i="3"/>
  <c r="E242" i="3"/>
  <c r="G241" i="3"/>
  <c r="C241" i="3"/>
  <c r="E240" i="3"/>
  <c r="G239" i="3"/>
  <c r="C239" i="3"/>
  <c r="E238" i="3"/>
  <c r="G237" i="3"/>
  <c r="C237" i="3"/>
  <c r="E236" i="3"/>
  <c r="G235" i="3"/>
  <c r="C235" i="3"/>
  <c r="E234" i="3"/>
  <c r="G233" i="3"/>
  <c r="C233" i="3"/>
  <c r="E232" i="3"/>
  <c r="G231" i="3"/>
  <c r="C231" i="3"/>
  <c r="E230" i="3"/>
  <c r="G229" i="3"/>
  <c r="C229" i="3"/>
  <c r="E228" i="3"/>
  <c r="G227" i="3"/>
  <c r="C227" i="3"/>
  <c r="E226" i="3"/>
  <c r="G225" i="3"/>
  <c r="C225" i="3"/>
  <c r="E224" i="3"/>
  <c r="G223" i="3"/>
  <c r="C223" i="3"/>
  <c r="E222" i="3"/>
  <c r="G221" i="3"/>
  <c r="C221" i="3"/>
  <c r="E220" i="3"/>
  <c r="G219" i="3"/>
  <c r="C219" i="3"/>
  <c r="E218" i="3"/>
  <c r="G217" i="3"/>
  <c r="C217" i="3"/>
  <c r="E216" i="3"/>
  <c r="G215" i="3"/>
  <c r="C215" i="3"/>
  <c r="E214" i="3"/>
  <c r="G213" i="3"/>
  <c r="C213" i="3"/>
  <c r="E212" i="3"/>
  <c r="G211" i="3"/>
  <c r="C211" i="3"/>
  <c r="E210" i="3"/>
  <c r="G209" i="3"/>
  <c r="C209" i="3"/>
  <c r="E208" i="3"/>
  <c r="G207" i="3"/>
  <c r="C207" i="3"/>
  <c r="E206" i="3"/>
  <c r="G205" i="3"/>
  <c r="C205" i="3"/>
  <c r="E204" i="3"/>
  <c r="G203" i="3"/>
  <c r="C203" i="3"/>
  <c r="E202" i="3"/>
  <c r="G201" i="3"/>
  <c r="C201" i="3"/>
  <c r="E200" i="3"/>
  <c r="G199" i="3"/>
  <c r="C199" i="3"/>
  <c r="E198" i="3"/>
  <c r="G197" i="3"/>
  <c r="C197" i="3"/>
  <c r="E196" i="3"/>
  <c r="G195" i="3"/>
  <c r="C195" i="3"/>
  <c r="E194" i="3"/>
  <c r="G193" i="3"/>
  <c r="C193" i="3"/>
  <c r="E192" i="3"/>
  <c r="G191" i="3"/>
  <c r="C191" i="3"/>
  <c r="E190" i="3"/>
  <c r="G189" i="3"/>
  <c r="C189" i="3"/>
  <c r="E188" i="3"/>
  <c r="G187" i="3"/>
  <c r="C187" i="3"/>
  <c r="E186" i="3"/>
  <c r="G185" i="3"/>
  <c r="C185" i="3"/>
  <c r="E184" i="3"/>
  <c r="G183" i="3"/>
  <c r="C183" i="3"/>
  <c r="E182" i="3"/>
  <c r="G181" i="3"/>
  <c r="C181" i="3"/>
  <c r="E180" i="3"/>
  <c r="G179" i="3"/>
  <c r="C179" i="3"/>
  <c r="E178" i="3"/>
  <c r="G177" i="3"/>
  <c r="C177" i="3"/>
  <c r="E176" i="3"/>
  <c r="G175" i="3"/>
  <c r="C175" i="3"/>
  <c r="E174" i="3"/>
  <c r="G173" i="3"/>
  <c r="C173" i="3"/>
  <c r="E172" i="3"/>
  <c r="G171" i="3"/>
  <c r="C171" i="3"/>
  <c r="E170" i="3"/>
  <c r="G169" i="3"/>
  <c r="C169" i="3"/>
  <c r="E168" i="3"/>
  <c r="G167" i="3"/>
  <c r="C167" i="3"/>
  <c r="E166" i="3"/>
  <c r="G165" i="3"/>
  <c r="C165" i="3"/>
  <c r="E164" i="3"/>
  <c r="G163" i="3"/>
  <c r="C163" i="3"/>
  <c r="E162" i="3"/>
  <c r="G161" i="3"/>
  <c r="C161" i="3"/>
  <c r="E160" i="3"/>
  <c r="G159" i="3"/>
  <c r="C159" i="3"/>
  <c r="E158" i="3"/>
  <c r="G157" i="3"/>
  <c r="C157" i="3"/>
  <c r="E156" i="3"/>
  <c r="G155" i="3"/>
  <c r="C155" i="3"/>
  <c r="E154" i="3"/>
  <c r="G153" i="3"/>
  <c r="C153" i="3"/>
  <c r="E152" i="3"/>
  <c r="G151" i="3"/>
  <c r="C151" i="3"/>
  <c r="E150" i="3"/>
  <c r="G149" i="3"/>
  <c r="C149" i="3"/>
  <c r="E148" i="3"/>
  <c r="G147" i="3"/>
  <c r="C147" i="3"/>
  <c r="E146" i="3"/>
  <c r="G145" i="3"/>
  <c r="C145" i="3"/>
  <c r="E144" i="3"/>
  <c r="G143" i="3"/>
  <c r="C143" i="3"/>
  <c r="E142" i="3"/>
  <c r="G141" i="3"/>
  <c r="C141" i="3"/>
  <c r="E140" i="3"/>
  <c r="G139" i="3"/>
  <c r="C139" i="3"/>
  <c r="E138" i="3"/>
  <c r="G137" i="3"/>
  <c r="C137" i="3"/>
  <c r="E136" i="3"/>
  <c r="G135" i="3"/>
  <c r="C135" i="3"/>
  <c r="E134" i="3"/>
  <c r="G133" i="3"/>
  <c r="C133" i="3"/>
  <c r="E132" i="3"/>
  <c r="G131" i="3"/>
  <c r="C131" i="3"/>
  <c r="E130" i="3"/>
  <c r="G129" i="3"/>
  <c r="C129" i="3"/>
  <c r="E128" i="3"/>
  <c r="G127" i="3"/>
  <c r="C127" i="3"/>
  <c r="E126" i="3"/>
  <c r="G125" i="3"/>
  <c r="C125" i="3"/>
  <c r="E124" i="3"/>
  <c r="G123" i="3"/>
  <c r="C123" i="3"/>
  <c r="E122" i="3"/>
  <c r="G121" i="3"/>
  <c r="C121" i="3"/>
  <c r="E120" i="3"/>
  <c r="G119" i="3"/>
  <c r="C119" i="3"/>
  <c r="E118" i="3"/>
  <c r="G117" i="3"/>
  <c r="C117" i="3"/>
  <c r="E116" i="3"/>
  <c r="G115" i="3"/>
  <c r="C115" i="3"/>
  <c r="E114" i="3"/>
  <c r="G113" i="3"/>
  <c r="C113" i="3"/>
  <c r="E112" i="3"/>
  <c r="G111" i="3"/>
  <c r="C111" i="3"/>
  <c r="E110" i="3"/>
  <c r="G109" i="3"/>
  <c r="C109" i="3"/>
  <c r="E108" i="3"/>
  <c r="G107" i="3"/>
  <c r="C107" i="3"/>
  <c r="E106" i="3"/>
  <c r="G105" i="3"/>
  <c r="C105" i="3"/>
  <c r="E104" i="3"/>
  <c r="G103" i="3"/>
  <c r="C103" i="3"/>
  <c r="E102" i="3"/>
  <c r="G101" i="3"/>
  <c r="C101" i="3"/>
  <c r="E100" i="3"/>
  <c r="G99" i="3"/>
  <c r="C99" i="3"/>
  <c r="E98" i="3"/>
  <c r="G97" i="3"/>
  <c r="C97" i="3"/>
  <c r="E96" i="3"/>
  <c r="G95" i="3"/>
  <c r="C95" i="3"/>
  <c r="E94" i="3"/>
  <c r="G93" i="3"/>
  <c r="C93" i="3"/>
  <c r="E92" i="3"/>
  <c r="G91" i="3"/>
  <c r="C91" i="3"/>
  <c r="E90" i="3"/>
  <c r="G89" i="3"/>
  <c r="C89" i="3"/>
  <c r="E88" i="3"/>
  <c r="G87" i="3"/>
  <c r="C87" i="3"/>
  <c r="E86" i="3"/>
  <c r="G85" i="3"/>
  <c r="C85" i="3"/>
  <c r="E84" i="3"/>
  <c r="G83" i="3"/>
  <c r="C83" i="3"/>
  <c r="E82" i="3"/>
  <c r="G81" i="3"/>
  <c r="C81" i="3"/>
  <c r="E80" i="3"/>
  <c r="G79" i="3"/>
  <c r="C79" i="3"/>
  <c r="E78" i="3"/>
  <c r="G77" i="3"/>
  <c r="C77" i="3"/>
  <c r="E76" i="3"/>
  <c r="G75" i="3"/>
  <c r="C75" i="3"/>
  <c r="E74" i="3"/>
  <c r="G73" i="3"/>
  <c r="C73" i="3"/>
  <c r="E72" i="3"/>
  <c r="G71" i="3"/>
  <c r="C71" i="3"/>
  <c r="E70" i="3"/>
  <c r="G69" i="3"/>
  <c r="C69" i="3"/>
  <c r="E68" i="3"/>
  <c r="G67" i="3"/>
  <c r="C67" i="3"/>
  <c r="E66" i="3"/>
  <c r="G65" i="3"/>
  <c r="C65" i="3"/>
  <c r="E64" i="3"/>
  <c r="G63" i="3"/>
  <c r="C63" i="3"/>
  <c r="E62" i="3"/>
  <c r="G61" i="3"/>
  <c r="C61" i="3"/>
  <c r="E60" i="3"/>
  <c r="G59" i="3"/>
  <c r="C59" i="3"/>
  <c r="E58" i="3"/>
  <c r="G57" i="3"/>
  <c r="C57" i="3"/>
  <c r="E56" i="3"/>
  <c r="G55" i="3"/>
  <c r="C55" i="3"/>
  <c r="E54" i="3"/>
  <c r="G53" i="3"/>
  <c r="C53" i="3"/>
  <c r="E52" i="3"/>
  <c r="G51" i="3"/>
  <c r="C51" i="3"/>
  <c r="E50" i="3"/>
  <c r="G49" i="3"/>
  <c r="C49" i="3"/>
  <c r="E48" i="3"/>
  <c r="G47" i="3"/>
  <c r="C47" i="3"/>
  <c r="E46" i="3"/>
  <c r="G45" i="3"/>
  <c r="C45" i="3"/>
  <c r="E44" i="3"/>
  <c r="G43" i="3"/>
  <c r="C43" i="3"/>
  <c r="E42" i="3"/>
  <c r="G41" i="3"/>
  <c r="C41" i="3"/>
  <c r="E40" i="3"/>
  <c r="G39" i="3"/>
  <c r="C39" i="3"/>
  <c r="E38" i="3"/>
  <c r="G37" i="3"/>
  <c r="C37" i="3"/>
  <c r="E36" i="3"/>
  <c r="G35" i="3"/>
  <c r="C35" i="3"/>
  <c r="E34" i="3"/>
  <c r="G33" i="3"/>
  <c r="C33" i="3"/>
  <c r="E32" i="3"/>
  <c r="G31" i="3"/>
  <c r="C31" i="3"/>
  <c r="E30" i="3"/>
  <c r="G29" i="3"/>
  <c r="C29" i="3"/>
  <c r="E28" i="3"/>
  <c r="G27" i="3"/>
  <c r="C27" i="3"/>
  <c r="E26" i="3"/>
  <c r="G25" i="3"/>
  <c r="C25" i="3"/>
  <c r="E24" i="3"/>
  <c r="G23" i="3"/>
  <c r="C23" i="3"/>
  <c r="E22" i="3"/>
  <c r="G21" i="3"/>
  <c r="C21" i="3"/>
  <c r="E20" i="3"/>
  <c r="G19" i="3"/>
  <c r="C19" i="3"/>
  <c r="E18" i="3"/>
  <c r="G17" i="3"/>
  <c r="C17" i="3"/>
  <c r="E16" i="3"/>
  <c r="G15" i="3"/>
  <c r="C15" i="3"/>
  <c r="E14" i="3"/>
  <c r="G13" i="3"/>
  <c r="C13" i="3"/>
  <c r="E12" i="3"/>
  <c r="G11" i="3"/>
  <c r="C11" i="3"/>
  <c r="E10" i="3"/>
  <c r="G9" i="3"/>
  <c r="C9" i="3"/>
  <c r="E8" i="3"/>
  <c r="G7" i="3"/>
  <c r="C7" i="3"/>
  <c r="E6" i="3"/>
  <c r="G5" i="3"/>
  <c r="C5" i="3"/>
  <c r="E4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3" i="3"/>
  <c r="B1" i="6" l="1"/>
  <c r="F1048574" i="6" l="1"/>
  <c r="F1048573" i="6" s="1"/>
  <c r="H2" i="3" l="1"/>
  <c r="B13" i="2" l="1"/>
  <c r="A6" i="3" l="1"/>
  <c r="A8" i="3"/>
  <c r="A10" i="3"/>
  <c r="A12" i="3"/>
  <c r="A14" i="3"/>
  <c r="A16" i="3"/>
  <c r="A18" i="3"/>
  <c r="A20" i="3"/>
  <c r="A22" i="3"/>
  <c r="A24" i="3"/>
  <c r="A26" i="3"/>
  <c r="A28" i="3"/>
  <c r="A30" i="3"/>
  <c r="A162" i="3"/>
  <c r="A164" i="3"/>
  <c r="A166" i="3"/>
  <c r="A168" i="3"/>
  <c r="A170" i="3"/>
  <c r="A172" i="3"/>
  <c r="A174" i="3"/>
  <c r="A176" i="3"/>
  <c r="A178" i="3"/>
  <c r="A180" i="3"/>
  <c r="A182" i="3"/>
  <c r="A184" i="3"/>
  <c r="A186" i="3"/>
  <c r="A188" i="3"/>
  <c r="A190" i="3"/>
  <c r="A192" i="3"/>
  <c r="A194" i="3"/>
  <c r="A196" i="3"/>
  <c r="A198" i="3"/>
  <c r="A200" i="3"/>
  <c r="A202" i="3"/>
  <c r="A204" i="3"/>
  <c r="A206" i="3"/>
  <c r="A208" i="3"/>
  <c r="A210" i="3"/>
  <c r="A212" i="3"/>
  <c r="A214" i="3"/>
  <c r="A216" i="3"/>
  <c r="A218" i="3"/>
  <c r="A220" i="3"/>
  <c r="A222" i="3"/>
  <c r="A224" i="3"/>
  <c r="A226" i="3"/>
  <c r="A228" i="3"/>
  <c r="A230" i="3"/>
  <c r="A232" i="3"/>
  <c r="A234" i="3"/>
  <c r="A236" i="3"/>
  <c r="A238" i="3"/>
  <c r="A240" i="3"/>
  <c r="A242" i="3"/>
  <c r="A244" i="3"/>
  <c r="A246" i="3"/>
  <c r="A248" i="3"/>
  <c r="A250" i="3"/>
  <c r="A252" i="3"/>
  <c r="A254" i="3"/>
  <c r="A256" i="3"/>
  <c r="A258" i="3"/>
  <c r="A260" i="3"/>
  <c r="A262" i="3"/>
  <c r="A264" i="3"/>
  <c r="A266" i="3"/>
  <c r="A268" i="3"/>
  <c r="A270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K30" i="3"/>
  <c r="K32" i="3"/>
  <c r="K34" i="3"/>
  <c r="K36" i="3"/>
  <c r="K38" i="3"/>
  <c r="K40" i="3"/>
  <c r="K42" i="3"/>
  <c r="K44" i="3"/>
  <c r="K46" i="3"/>
  <c r="K48" i="3"/>
  <c r="K50" i="3"/>
  <c r="K52" i="3"/>
  <c r="K54" i="3"/>
  <c r="K56" i="3"/>
  <c r="K58" i="3"/>
  <c r="K60" i="3"/>
  <c r="K62" i="3"/>
  <c r="K64" i="3"/>
  <c r="K66" i="3"/>
  <c r="K68" i="3"/>
  <c r="K70" i="3"/>
  <c r="K72" i="3"/>
  <c r="K74" i="3"/>
  <c r="K76" i="3"/>
  <c r="K78" i="3"/>
  <c r="K80" i="3"/>
  <c r="K82" i="3"/>
  <c r="K84" i="3"/>
  <c r="K86" i="3"/>
  <c r="K88" i="3"/>
  <c r="K90" i="3"/>
  <c r="K92" i="3"/>
  <c r="K94" i="3"/>
  <c r="K96" i="3"/>
  <c r="K98" i="3"/>
  <c r="K100" i="3"/>
  <c r="K102" i="3"/>
  <c r="K104" i="3"/>
  <c r="K106" i="3"/>
  <c r="K108" i="3"/>
  <c r="K110" i="3"/>
  <c r="K112" i="3"/>
  <c r="K114" i="3"/>
  <c r="K116" i="3"/>
  <c r="K118" i="3"/>
  <c r="K120" i="3"/>
  <c r="K122" i="3"/>
  <c r="K124" i="3"/>
  <c r="K126" i="3"/>
  <c r="K128" i="3"/>
  <c r="K130" i="3"/>
  <c r="K132" i="3"/>
  <c r="K134" i="3"/>
  <c r="K136" i="3"/>
  <c r="K138" i="3"/>
  <c r="K140" i="3"/>
  <c r="K142" i="3"/>
  <c r="K144" i="3"/>
  <c r="K146" i="3"/>
  <c r="K148" i="3"/>
  <c r="K150" i="3"/>
  <c r="K152" i="3"/>
  <c r="K154" i="3"/>
  <c r="K156" i="3"/>
  <c r="K158" i="3"/>
  <c r="K160" i="3"/>
  <c r="K162" i="3"/>
  <c r="K164" i="3"/>
  <c r="K166" i="3"/>
  <c r="K168" i="3"/>
  <c r="K170" i="3"/>
  <c r="K172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5" i="3"/>
  <c r="K177" i="3"/>
  <c r="K179" i="3"/>
  <c r="K181" i="3"/>
  <c r="K183" i="3"/>
  <c r="K185" i="3"/>
  <c r="K187" i="3"/>
  <c r="K189" i="3"/>
  <c r="K191" i="3"/>
  <c r="K193" i="3"/>
  <c r="K195" i="3"/>
  <c r="K197" i="3"/>
  <c r="K199" i="3"/>
  <c r="K201" i="3"/>
  <c r="K203" i="3"/>
  <c r="K205" i="3"/>
  <c r="K207" i="3"/>
  <c r="K209" i="3"/>
  <c r="K211" i="3"/>
  <c r="K213" i="3"/>
  <c r="K215" i="3"/>
  <c r="K217" i="3"/>
  <c r="K219" i="3"/>
  <c r="K221" i="3"/>
  <c r="K223" i="3"/>
  <c r="K225" i="3"/>
  <c r="K227" i="3"/>
  <c r="K229" i="3"/>
  <c r="K231" i="3"/>
  <c r="K233" i="3"/>
  <c r="K235" i="3"/>
  <c r="K237" i="3"/>
  <c r="K239" i="3"/>
  <c r="K241" i="3"/>
  <c r="K243" i="3"/>
  <c r="K245" i="3"/>
  <c r="K247" i="3"/>
  <c r="K249" i="3"/>
  <c r="K251" i="3"/>
  <c r="K253" i="3"/>
  <c r="K255" i="3"/>
  <c r="K257" i="3"/>
  <c r="K259" i="3"/>
  <c r="K261" i="3"/>
  <c r="K263" i="3"/>
  <c r="K265" i="3"/>
  <c r="K267" i="3"/>
  <c r="K269" i="3"/>
  <c r="K7" i="3"/>
  <c r="K11" i="3"/>
  <c r="K15" i="3"/>
  <c r="K19" i="3"/>
  <c r="K23" i="3"/>
  <c r="K27" i="3"/>
  <c r="K31" i="3"/>
  <c r="K35" i="3"/>
  <c r="K39" i="3"/>
  <c r="K43" i="3"/>
  <c r="K47" i="3"/>
  <c r="K51" i="3"/>
  <c r="K55" i="3"/>
  <c r="K59" i="3"/>
  <c r="K63" i="3"/>
  <c r="K67" i="3"/>
  <c r="K71" i="3"/>
  <c r="K75" i="3"/>
  <c r="K79" i="3"/>
  <c r="K83" i="3"/>
  <c r="K87" i="3"/>
  <c r="K91" i="3"/>
  <c r="K95" i="3"/>
  <c r="K99" i="3"/>
  <c r="K103" i="3"/>
  <c r="K107" i="3"/>
  <c r="K111" i="3"/>
  <c r="K115" i="3"/>
  <c r="K119" i="3"/>
  <c r="K123" i="3"/>
  <c r="K127" i="3"/>
  <c r="K131" i="3"/>
  <c r="K135" i="3"/>
  <c r="K139" i="3"/>
  <c r="K143" i="3"/>
  <c r="K147" i="3"/>
  <c r="K151" i="3"/>
  <c r="K155" i="3"/>
  <c r="K159" i="3"/>
  <c r="K163" i="3"/>
  <c r="K167" i="3"/>
  <c r="K171" i="3"/>
  <c r="K174" i="3"/>
  <c r="K176" i="3"/>
  <c r="K178" i="3"/>
  <c r="K180" i="3"/>
  <c r="K182" i="3"/>
  <c r="K184" i="3"/>
  <c r="K186" i="3"/>
  <c r="K188" i="3"/>
  <c r="K190" i="3"/>
  <c r="K192" i="3"/>
  <c r="K194" i="3"/>
  <c r="K196" i="3"/>
  <c r="K198" i="3"/>
  <c r="K200" i="3"/>
  <c r="K202" i="3"/>
  <c r="K204" i="3"/>
  <c r="K206" i="3"/>
  <c r="K208" i="3"/>
  <c r="K210" i="3"/>
  <c r="K212" i="3"/>
  <c r="K214" i="3"/>
  <c r="K216" i="3"/>
  <c r="K218" i="3"/>
  <c r="K220" i="3"/>
  <c r="K222" i="3"/>
  <c r="K224" i="3"/>
  <c r="K226" i="3"/>
  <c r="K228" i="3"/>
  <c r="K230" i="3"/>
  <c r="K232" i="3"/>
  <c r="K234" i="3"/>
  <c r="K236" i="3"/>
  <c r="K238" i="3"/>
  <c r="K240" i="3"/>
  <c r="K242" i="3"/>
  <c r="K244" i="3"/>
  <c r="K246" i="3"/>
  <c r="K248" i="3"/>
  <c r="K252" i="3"/>
  <c r="K256" i="3"/>
  <c r="K260" i="3"/>
  <c r="K264" i="3"/>
  <c r="K268" i="3"/>
  <c r="K250" i="3"/>
  <c r="K254" i="3"/>
  <c r="K258" i="3"/>
  <c r="K262" i="3"/>
  <c r="K266" i="3"/>
  <c r="K270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A159" i="3" l="1"/>
  <c r="A157" i="3"/>
  <c r="A155" i="3"/>
  <c r="A153" i="3"/>
  <c r="A151" i="3"/>
  <c r="A149" i="3"/>
  <c r="A147" i="3"/>
  <c r="A145" i="3"/>
  <c r="A143" i="3"/>
  <c r="A141" i="3"/>
  <c r="A139" i="3"/>
  <c r="A137" i="3"/>
  <c r="A135" i="3"/>
  <c r="A133" i="3"/>
  <c r="A131" i="3"/>
  <c r="A129" i="3"/>
  <c r="A127" i="3"/>
  <c r="A125" i="3"/>
  <c r="A123" i="3"/>
  <c r="A121" i="3"/>
  <c r="A119" i="3"/>
  <c r="A117" i="3"/>
  <c r="A115" i="3"/>
  <c r="A113" i="3"/>
  <c r="A111" i="3"/>
  <c r="A109" i="3"/>
  <c r="A107" i="3"/>
  <c r="A105" i="3"/>
  <c r="A103" i="3"/>
  <c r="A101" i="3"/>
  <c r="A99" i="3"/>
  <c r="A97" i="3"/>
  <c r="A95" i="3"/>
  <c r="A93" i="3"/>
  <c r="A91" i="3"/>
  <c r="A89" i="3"/>
  <c r="A87" i="3"/>
  <c r="A85" i="3"/>
  <c r="A83" i="3"/>
  <c r="A81" i="3"/>
  <c r="A79" i="3"/>
  <c r="A77" i="3"/>
  <c r="A75" i="3"/>
  <c r="A73" i="3"/>
  <c r="A71" i="3"/>
  <c r="A69" i="3"/>
  <c r="A67" i="3"/>
  <c r="A65" i="3"/>
  <c r="A63" i="3"/>
  <c r="A61" i="3"/>
  <c r="A59" i="3"/>
  <c r="A57" i="3"/>
  <c r="A55" i="3"/>
  <c r="A53" i="3"/>
  <c r="A51" i="3"/>
  <c r="A49" i="3"/>
  <c r="A47" i="3"/>
  <c r="A45" i="3"/>
  <c r="A43" i="3"/>
  <c r="A41" i="3"/>
  <c r="A39" i="3"/>
  <c r="A37" i="3"/>
  <c r="A35" i="3"/>
  <c r="A33" i="3"/>
  <c r="A31" i="3"/>
  <c r="A29" i="3"/>
  <c r="A27" i="3"/>
  <c r="A25" i="3"/>
  <c r="A23" i="3"/>
  <c r="A21" i="3"/>
  <c r="A19" i="3"/>
  <c r="A17" i="3"/>
  <c r="A15" i="3"/>
  <c r="A13" i="3"/>
  <c r="A11" i="3"/>
  <c r="A9" i="3"/>
  <c r="A7" i="3"/>
  <c r="A5" i="3"/>
  <c r="A68" i="3"/>
  <c r="A66" i="3"/>
  <c r="A64" i="3"/>
  <c r="A62" i="3"/>
  <c r="A60" i="3"/>
  <c r="A58" i="3"/>
  <c r="A56" i="3"/>
  <c r="A54" i="3"/>
  <c r="A52" i="3"/>
  <c r="A50" i="3"/>
  <c r="A48" i="3"/>
  <c r="A46" i="3"/>
  <c r="A44" i="3"/>
  <c r="A42" i="3"/>
  <c r="A40" i="3"/>
  <c r="A38" i="3"/>
  <c r="A36" i="3"/>
  <c r="A34" i="3"/>
  <c r="A32" i="3"/>
  <c r="A160" i="3"/>
  <c r="A158" i="3"/>
  <c r="A156" i="3"/>
  <c r="A154" i="3"/>
  <c r="A152" i="3"/>
  <c r="A150" i="3"/>
  <c r="A148" i="3"/>
  <c r="A146" i="3"/>
  <c r="A144" i="3"/>
  <c r="A142" i="3"/>
  <c r="A140" i="3"/>
  <c r="A138" i="3"/>
  <c r="A136" i="3"/>
  <c r="A134" i="3"/>
  <c r="A132" i="3"/>
  <c r="A130" i="3"/>
  <c r="A128" i="3"/>
  <c r="A126" i="3"/>
  <c r="A124" i="3"/>
  <c r="A122" i="3"/>
  <c r="A120" i="3"/>
  <c r="A118" i="3"/>
  <c r="A116" i="3"/>
  <c r="A114" i="3"/>
  <c r="A112" i="3"/>
  <c r="A110" i="3"/>
  <c r="A108" i="3"/>
  <c r="A106" i="3"/>
  <c r="A104" i="3"/>
  <c r="A102" i="3"/>
  <c r="A100" i="3"/>
  <c r="A98" i="3"/>
  <c r="A96" i="3"/>
  <c r="A94" i="3"/>
  <c r="A92" i="3"/>
  <c r="A90" i="3"/>
  <c r="A88" i="3"/>
  <c r="A86" i="3"/>
  <c r="A84" i="3"/>
  <c r="A82" i="3"/>
  <c r="A80" i="3"/>
  <c r="A78" i="3"/>
  <c r="A76" i="3"/>
  <c r="A74" i="3"/>
  <c r="A72" i="3"/>
  <c r="A70" i="3"/>
  <c r="A271" i="3"/>
  <c r="A269" i="3"/>
  <c r="A267" i="3"/>
  <c r="A265" i="3"/>
  <c r="A263" i="3"/>
  <c r="A261" i="3"/>
  <c r="A259" i="3"/>
  <c r="A257" i="3"/>
  <c r="A255" i="3"/>
  <c r="A253" i="3"/>
  <c r="A251" i="3"/>
  <c r="A249" i="3"/>
  <c r="A247" i="3"/>
  <c r="A245" i="3"/>
  <c r="A243" i="3"/>
  <c r="A241" i="3"/>
  <c r="A239" i="3"/>
  <c r="A237" i="3"/>
  <c r="A235" i="3"/>
  <c r="A233" i="3"/>
  <c r="A231" i="3"/>
  <c r="A229" i="3"/>
  <c r="A227" i="3"/>
  <c r="A225" i="3"/>
  <c r="A223" i="3"/>
  <c r="A221" i="3"/>
  <c r="A219" i="3"/>
  <c r="A217" i="3"/>
  <c r="A215" i="3"/>
  <c r="A213" i="3"/>
  <c r="A211" i="3"/>
  <c r="A209" i="3"/>
  <c r="A207" i="3"/>
  <c r="A205" i="3"/>
  <c r="A203" i="3"/>
  <c r="A201" i="3"/>
  <c r="A199" i="3"/>
  <c r="A197" i="3"/>
  <c r="A195" i="3"/>
  <c r="A193" i="3"/>
  <c r="A191" i="3"/>
  <c r="A189" i="3"/>
  <c r="A187" i="3"/>
  <c r="A185" i="3"/>
  <c r="A183" i="3"/>
  <c r="A181" i="3"/>
  <c r="A179" i="3"/>
  <c r="A177" i="3"/>
  <c r="A175" i="3"/>
  <c r="A173" i="3"/>
  <c r="A171" i="3"/>
  <c r="A169" i="3"/>
  <c r="A167" i="3"/>
  <c r="A165" i="3"/>
  <c r="A163" i="3"/>
  <c r="A161" i="3"/>
  <c r="A4" i="3"/>
  <c r="A3" i="3"/>
  <c r="A2" i="3"/>
  <c r="A5" i="2"/>
  <c r="K3" i="3"/>
  <c r="K2" i="3"/>
  <c r="L4" i="4"/>
  <c r="L3" i="4"/>
  <c r="L12" i="4"/>
  <c r="L10" i="4"/>
  <c r="L8" i="4"/>
  <c r="L6" i="4"/>
  <c r="L13" i="4"/>
  <c r="L11" i="4"/>
  <c r="L9" i="4"/>
  <c r="L7" i="4"/>
  <c r="L5" i="4"/>
  <c r="B6" i="1" l="1"/>
  <c r="D6" i="1"/>
  <c r="F6" i="1"/>
  <c r="C7" i="1"/>
  <c r="E7" i="1"/>
  <c r="B106" i="1"/>
  <c r="D106" i="1"/>
  <c r="F106" i="1"/>
  <c r="C107" i="1"/>
  <c r="E107" i="1"/>
  <c r="B108" i="1"/>
  <c r="D108" i="1"/>
  <c r="F108" i="1"/>
  <c r="C109" i="1"/>
  <c r="E109" i="1"/>
  <c r="B110" i="1"/>
  <c r="D110" i="1"/>
  <c r="F110" i="1"/>
  <c r="C111" i="1"/>
  <c r="E111" i="1"/>
  <c r="B112" i="1"/>
  <c r="D112" i="1"/>
  <c r="F112" i="1"/>
  <c r="C113" i="1"/>
  <c r="E113" i="1"/>
  <c r="B114" i="1"/>
  <c r="D114" i="1"/>
  <c r="F114" i="1"/>
  <c r="C115" i="1"/>
  <c r="E115" i="1"/>
  <c r="B116" i="1"/>
  <c r="D116" i="1"/>
  <c r="F116" i="1"/>
  <c r="C117" i="1"/>
  <c r="E117" i="1"/>
  <c r="B118" i="1"/>
  <c r="D118" i="1"/>
  <c r="F118" i="1"/>
  <c r="C119" i="1"/>
  <c r="E119" i="1"/>
  <c r="B120" i="1"/>
  <c r="D120" i="1"/>
  <c r="F120" i="1"/>
  <c r="C121" i="1"/>
  <c r="E121" i="1"/>
  <c r="B122" i="1"/>
  <c r="D122" i="1"/>
  <c r="F122" i="1"/>
  <c r="C123" i="1"/>
  <c r="E123" i="1"/>
  <c r="B124" i="1"/>
  <c r="D124" i="1"/>
  <c r="F124" i="1"/>
  <c r="C125" i="1"/>
  <c r="E125" i="1"/>
  <c r="B126" i="1"/>
  <c r="D126" i="1"/>
  <c r="F126" i="1"/>
  <c r="C127" i="1"/>
  <c r="E127" i="1"/>
  <c r="B128" i="1"/>
  <c r="D128" i="1"/>
  <c r="F128" i="1"/>
  <c r="C129" i="1"/>
  <c r="E129" i="1"/>
  <c r="B130" i="1"/>
  <c r="D130" i="1"/>
  <c r="F130" i="1"/>
  <c r="C131" i="1"/>
  <c r="E131" i="1"/>
  <c r="B132" i="1"/>
  <c r="D132" i="1"/>
  <c r="F132" i="1"/>
  <c r="C133" i="1"/>
  <c r="E133" i="1"/>
  <c r="B134" i="1"/>
  <c r="D134" i="1"/>
  <c r="F134" i="1"/>
  <c r="C135" i="1"/>
  <c r="E135" i="1"/>
  <c r="B136" i="1"/>
  <c r="D136" i="1"/>
  <c r="F136" i="1"/>
  <c r="C137" i="1"/>
  <c r="E137" i="1"/>
  <c r="C6" i="1"/>
  <c r="B7" i="1"/>
  <c r="F7" i="1"/>
  <c r="E106" i="1"/>
  <c r="D107" i="1"/>
  <c r="C108" i="1"/>
  <c r="B109" i="1"/>
  <c r="F109" i="1"/>
  <c r="E110" i="1"/>
  <c r="D111" i="1"/>
  <c r="C112" i="1"/>
  <c r="B113" i="1"/>
  <c r="F113" i="1"/>
  <c r="E114" i="1"/>
  <c r="D115" i="1"/>
  <c r="C116" i="1"/>
  <c r="B117" i="1"/>
  <c r="F117" i="1"/>
  <c r="E118" i="1"/>
  <c r="D119" i="1"/>
  <c r="C120" i="1"/>
  <c r="B121" i="1"/>
  <c r="F121" i="1"/>
  <c r="E122" i="1"/>
  <c r="D123" i="1"/>
  <c r="C124" i="1"/>
  <c r="B125" i="1"/>
  <c r="F125" i="1"/>
  <c r="E126" i="1"/>
  <c r="D127" i="1"/>
  <c r="C128" i="1"/>
  <c r="B129" i="1"/>
  <c r="F129" i="1"/>
  <c r="E130" i="1"/>
  <c r="D131" i="1"/>
  <c r="C132" i="1"/>
  <c r="B133" i="1"/>
  <c r="F133" i="1"/>
  <c r="E134" i="1"/>
  <c r="D135" i="1"/>
  <c r="C136" i="1"/>
  <c r="B137" i="1"/>
  <c r="F137" i="1"/>
  <c r="C138" i="1"/>
  <c r="E138" i="1"/>
  <c r="B139" i="1"/>
  <c r="D139" i="1"/>
  <c r="F139" i="1"/>
  <c r="C140" i="1"/>
  <c r="E140" i="1"/>
  <c r="B141" i="1"/>
  <c r="D141" i="1"/>
  <c r="F141" i="1"/>
  <c r="C142" i="1"/>
  <c r="E142" i="1"/>
  <c r="B143" i="1"/>
  <c r="D143" i="1"/>
  <c r="F143" i="1"/>
  <c r="C144" i="1"/>
  <c r="E144" i="1"/>
  <c r="B145" i="1"/>
  <c r="D145" i="1"/>
  <c r="F145" i="1"/>
  <c r="C146" i="1"/>
  <c r="E146" i="1"/>
  <c r="B147" i="1"/>
  <c r="D147" i="1"/>
  <c r="F147" i="1"/>
  <c r="C148" i="1"/>
  <c r="E148" i="1"/>
  <c r="B149" i="1"/>
  <c r="D149" i="1"/>
  <c r="F149" i="1"/>
  <c r="C150" i="1"/>
  <c r="E150" i="1"/>
  <c r="B151" i="1"/>
  <c r="D151" i="1"/>
  <c r="F151" i="1"/>
  <c r="C152" i="1"/>
  <c r="E152" i="1"/>
  <c r="B153" i="1"/>
  <c r="D153" i="1"/>
  <c r="F153" i="1"/>
  <c r="C154" i="1"/>
  <c r="E154" i="1"/>
  <c r="B155" i="1"/>
  <c r="D155" i="1"/>
  <c r="F155" i="1"/>
  <c r="C156" i="1"/>
  <c r="E156" i="1"/>
  <c r="B157" i="1"/>
  <c r="D157" i="1"/>
  <c r="F157" i="1"/>
  <c r="C158" i="1"/>
  <c r="E158" i="1"/>
  <c r="B159" i="1"/>
  <c r="D159" i="1"/>
  <c r="F159" i="1"/>
  <c r="C160" i="1"/>
  <c r="E160" i="1"/>
  <c r="B161" i="1"/>
  <c r="D161" i="1"/>
  <c r="F161" i="1"/>
  <c r="C162" i="1"/>
  <c r="E162" i="1"/>
  <c r="B163" i="1"/>
  <c r="D163" i="1"/>
  <c r="F163" i="1"/>
  <c r="C164" i="1"/>
  <c r="E164" i="1"/>
  <c r="B165" i="1"/>
  <c r="D165" i="1"/>
  <c r="F165" i="1"/>
  <c r="C166" i="1"/>
  <c r="E166" i="1"/>
  <c r="B167" i="1"/>
  <c r="D167" i="1"/>
  <c r="F167" i="1"/>
  <c r="C168" i="1"/>
  <c r="E168" i="1"/>
  <c r="B169" i="1"/>
  <c r="D169" i="1"/>
  <c r="F169" i="1"/>
  <c r="C170" i="1"/>
  <c r="E170" i="1"/>
  <c r="B171" i="1"/>
  <c r="D171" i="1"/>
  <c r="F171" i="1"/>
  <c r="C172" i="1"/>
  <c r="E172" i="1"/>
  <c r="B173" i="1"/>
  <c r="D173" i="1"/>
  <c r="F173" i="1"/>
  <c r="C174" i="1"/>
  <c r="E174" i="1"/>
  <c r="B175" i="1"/>
  <c r="D175" i="1"/>
  <c r="F175" i="1"/>
  <c r="C176" i="1"/>
  <c r="E176" i="1"/>
  <c r="B177" i="1"/>
  <c r="D177" i="1"/>
  <c r="F177" i="1"/>
  <c r="C178" i="1"/>
  <c r="E178" i="1"/>
  <c r="B179" i="1"/>
  <c r="D179" i="1"/>
  <c r="F179" i="1"/>
  <c r="C180" i="1"/>
  <c r="E180" i="1"/>
  <c r="B181" i="1"/>
  <c r="D181" i="1"/>
  <c r="F181" i="1"/>
  <c r="C182" i="1"/>
  <c r="E182" i="1"/>
  <c r="B183" i="1"/>
  <c r="D183" i="1"/>
  <c r="F183" i="1"/>
  <c r="C184" i="1"/>
  <c r="E184" i="1"/>
  <c r="B185" i="1"/>
  <c r="D185" i="1"/>
  <c r="F185" i="1"/>
  <c r="C186" i="1"/>
  <c r="E186" i="1"/>
  <c r="B187" i="1"/>
  <c r="D187" i="1"/>
  <c r="F187" i="1"/>
  <c r="C188" i="1"/>
  <c r="E188" i="1"/>
  <c r="E6" i="1"/>
  <c r="C106" i="1"/>
  <c r="F107" i="1"/>
  <c r="D109" i="1"/>
  <c r="B111" i="1"/>
  <c r="E112" i="1"/>
  <c r="C114" i="1"/>
  <c r="F115" i="1"/>
  <c r="D117" i="1"/>
  <c r="B119" i="1"/>
  <c r="E120" i="1"/>
  <c r="C122" i="1"/>
  <c r="F123" i="1"/>
  <c r="D125" i="1"/>
  <c r="B127" i="1"/>
  <c r="E128" i="1"/>
  <c r="C130" i="1"/>
  <c r="F131" i="1"/>
  <c r="D133" i="1"/>
  <c r="B135" i="1"/>
  <c r="E136" i="1"/>
  <c r="B138" i="1"/>
  <c r="F138" i="1"/>
  <c r="E139" i="1"/>
  <c r="D140" i="1"/>
  <c r="C141" i="1"/>
  <c r="B142" i="1"/>
  <c r="F142" i="1"/>
  <c r="E143" i="1"/>
  <c r="D144" i="1"/>
  <c r="C145" i="1"/>
  <c r="B146" i="1"/>
  <c r="F146" i="1"/>
  <c r="E147" i="1"/>
  <c r="D148" i="1"/>
  <c r="C149" i="1"/>
  <c r="B150" i="1"/>
  <c r="F150" i="1"/>
  <c r="E151" i="1"/>
  <c r="D152" i="1"/>
  <c r="C153" i="1"/>
  <c r="B154" i="1"/>
  <c r="F154" i="1"/>
  <c r="E155" i="1"/>
  <c r="D156" i="1"/>
  <c r="C157" i="1"/>
  <c r="B158" i="1"/>
  <c r="F158" i="1"/>
  <c r="E159" i="1"/>
  <c r="D160" i="1"/>
  <c r="C161" i="1"/>
  <c r="B162" i="1"/>
  <c r="F162" i="1"/>
  <c r="E163" i="1"/>
  <c r="D164" i="1"/>
  <c r="C165" i="1"/>
  <c r="B166" i="1"/>
  <c r="F166" i="1"/>
  <c r="E167" i="1"/>
  <c r="D168" i="1"/>
  <c r="C169" i="1"/>
  <c r="B170" i="1"/>
  <c r="F170" i="1"/>
  <c r="E171" i="1"/>
  <c r="D172" i="1"/>
  <c r="C173" i="1"/>
  <c r="B174" i="1"/>
  <c r="F174" i="1"/>
  <c r="E175" i="1"/>
  <c r="D176" i="1"/>
  <c r="C177" i="1"/>
  <c r="B178" i="1"/>
  <c r="F178" i="1"/>
  <c r="E179" i="1"/>
  <c r="D180" i="1"/>
  <c r="C181" i="1"/>
  <c r="B182" i="1"/>
  <c r="F182" i="1"/>
  <c r="E183" i="1"/>
  <c r="D184" i="1"/>
  <c r="C185" i="1"/>
  <c r="B186" i="1"/>
  <c r="F186" i="1"/>
  <c r="E187" i="1"/>
  <c r="D188" i="1"/>
  <c r="B189" i="1"/>
  <c r="D189" i="1"/>
  <c r="F189" i="1"/>
  <c r="C190" i="1"/>
  <c r="E190" i="1"/>
  <c r="B191" i="1"/>
  <c r="D191" i="1"/>
  <c r="F191" i="1"/>
  <c r="C192" i="1"/>
  <c r="E192" i="1"/>
  <c r="B193" i="1"/>
  <c r="D193" i="1"/>
  <c r="F193" i="1"/>
  <c r="C194" i="1"/>
  <c r="E194" i="1"/>
  <c r="B195" i="1"/>
  <c r="D195" i="1"/>
  <c r="F195" i="1"/>
  <c r="C196" i="1"/>
  <c r="E196" i="1"/>
  <c r="B197" i="1"/>
  <c r="D197" i="1"/>
  <c r="F197" i="1"/>
  <c r="C198" i="1"/>
  <c r="E198" i="1"/>
  <c r="B199" i="1"/>
  <c r="D199" i="1"/>
  <c r="F199" i="1"/>
  <c r="C200" i="1"/>
  <c r="E200" i="1"/>
  <c r="B201" i="1"/>
  <c r="D201" i="1"/>
  <c r="F201" i="1"/>
  <c r="C202" i="1"/>
  <c r="E202" i="1"/>
  <c r="B203" i="1"/>
  <c r="D203" i="1"/>
  <c r="F203" i="1"/>
  <c r="C204" i="1"/>
  <c r="E204" i="1"/>
  <c r="B205" i="1"/>
  <c r="D205" i="1"/>
  <c r="F205" i="1"/>
  <c r="C206" i="1"/>
  <c r="E206" i="1"/>
  <c r="B207" i="1"/>
  <c r="D207" i="1"/>
  <c r="F207" i="1"/>
  <c r="C208" i="1"/>
  <c r="E208" i="1"/>
  <c r="B209" i="1"/>
  <c r="D209" i="1"/>
  <c r="F209" i="1"/>
  <c r="C210" i="1"/>
  <c r="E210" i="1"/>
  <c r="B211" i="1"/>
  <c r="D211" i="1"/>
  <c r="F211" i="1"/>
  <c r="C212" i="1"/>
  <c r="E212" i="1"/>
  <c r="B213" i="1"/>
  <c r="D213" i="1"/>
  <c r="F213" i="1"/>
  <c r="C214" i="1"/>
  <c r="E214" i="1"/>
  <c r="B215" i="1"/>
  <c r="D215" i="1"/>
  <c r="F215" i="1"/>
  <c r="C216" i="1"/>
  <c r="E216" i="1"/>
  <c r="B217" i="1"/>
  <c r="D217" i="1"/>
  <c r="F217" i="1"/>
  <c r="C218" i="1"/>
  <c r="E218" i="1"/>
  <c r="B219" i="1"/>
  <c r="D219" i="1"/>
  <c r="F219" i="1"/>
  <c r="C220" i="1"/>
  <c r="E220" i="1"/>
  <c r="B221" i="1"/>
  <c r="D221" i="1"/>
  <c r="F221" i="1"/>
  <c r="C222" i="1"/>
  <c r="E222" i="1"/>
  <c r="B223" i="1"/>
  <c r="D223" i="1"/>
  <c r="F223" i="1"/>
  <c r="C224" i="1"/>
  <c r="E224" i="1"/>
  <c r="B225" i="1"/>
  <c r="D225" i="1"/>
  <c r="F225" i="1"/>
  <c r="C226" i="1"/>
  <c r="E226" i="1"/>
  <c r="B227" i="1"/>
  <c r="D227" i="1"/>
  <c r="F227" i="1"/>
  <c r="C228" i="1"/>
  <c r="E228" i="1"/>
  <c r="B229" i="1"/>
  <c r="D229" i="1"/>
  <c r="F229" i="1"/>
  <c r="C230" i="1"/>
  <c r="E230" i="1"/>
  <c r="B231" i="1"/>
  <c r="D231" i="1"/>
  <c r="F231" i="1"/>
  <c r="C232" i="1"/>
  <c r="E232" i="1"/>
  <c r="B233" i="1"/>
  <c r="D233" i="1"/>
  <c r="F233" i="1"/>
  <c r="C234" i="1"/>
  <c r="E234" i="1"/>
  <c r="B235" i="1"/>
  <c r="D235" i="1"/>
  <c r="F235" i="1"/>
  <c r="C236" i="1"/>
  <c r="E236" i="1"/>
  <c r="B237" i="1"/>
  <c r="D237" i="1"/>
  <c r="F237" i="1"/>
  <c r="C238" i="1"/>
  <c r="E238" i="1"/>
  <c r="B239" i="1"/>
  <c r="D239" i="1"/>
  <c r="F239" i="1"/>
  <c r="C240" i="1"/>
  <c r="E240" i="1"/>
  <c r="B241" i="1"/>
  <c r="D241" i="1"/>
  <c r="F241" i="1"/>
  <c r="C242" i="1"/>
  <c r="E242" i="1"/>
  <c r="B243" i="1"/>
  <c r="D243" i="1"/>
  <c r="F243" i="1"/>
  <c r="C244" i="1"/>
  <c r="E244" i="1"/>
  <c r="B245" i="1"/>
  <c r="D245" i="1"/>
  <c r="F245" i="1"/>
  <c r="C246" i="1"/>
  <c r="E246" i="1"/>
  <c r="B247" i="1"/>
  <c r="D247" i="1"/>
  <c r="F247" i="1"/>
  <c r="C248" i="1"/>
  <c r="E248" i="1"/>
  <c r="B249" i="1"/>
  <c r="D249" i="1"/>
  <c r="F249" i="1"/>
  <c r="C250" i="1"/>
  <c r="E250" i="1"/>
  <c r="B251" i="1"/>
  <c r="D251" i="1"/>
  <c r="F251" i="1"/>
  <c r="C252" i="1"/>
  <c r="E252" i="1"/>
  <c r="B253" i="1"/>
  <c r="D253" i="1"/>
  <c r="F253" i="1"/>
  <c r="C254" i="1"/>
  <c r="E254" i="1"/>
  <c r="B255" i="1"/>
  <c r="D255" i="1"/>
  <c r="F255" i="1"/>
  <c r="C256" i="1"/>
  <c r="E256" i="1"/>
  <c r="B257" i="1"/>
  <c r="D257" i="1"/>
  <c r="F257" i="1"/>
  <c r="C258" i="1"/>
  <c r="E258" i="1"/>
  <c r="B259" i="1"/>
  <c r="D259" i="1"/>
  <c r="F259" i="1"/>
  <c r="C260" i="1"/>
  <c r="E260" i="1"/>
  <c r="B261" i="1"/>
  <c r="D261" i="1"/>
  <c r="F261" i="1"/>
  <c r="C262" i="1"/>
  <c r="E262" i="1"/>
  <c r="B263" i="1"/>
  <c r="D263" i="1"/>
  <c r="F263" i="1"/>
  <c r="C264" i="1"/>
  <c r="E264" i="1"/>
  <c r="B265" i="1"/>
  <c r="D265" i="1"/>
  <c r="F265" i="1"/>
  <c r="C266" i="1"/>
  <c r="E266" i="1"/>
  <c r="B267" i="1"/>
  <c r="D267" i="1"/>
  <c r="F267" i="1"/>
  <c r="C268" i="1"/>
  <c r="E268" i="1"/>
  <c r="B269" i="1"/>
  <c r="D269" i="1"/>
  <c r="F269" i="1"/>
  <c r="C270" i="1"/>
  <c r="E270" i="1"/>
  <c r="B271" i="1"/>
  <c r="D271" i="1"/>
  <c r="F271" i="1"/>
  <c r="C272" i="1"/>
  <c r="E272" i="1"/>
  <c r="B273" i="1"/>
  <c r="D273" i="1"/>
  <c r="F273" i="1"/>
  <c r="C274" i="1"/>
  <c r="E274" i="1"/>
  <c r="B275" i="1"/>
  <c r="D275" i="1"/>
  <c r="F275" i="1"/>
  <c r="C276" i="1"/>
  <c r="E276" i="1"/>
  <c r="B277" i="1"/>
  <c r="D277" i="1"/>
  <c r="F277" i="1"/>
  <c r="C278" i="1"/>
  <c r="E278" i="1"/>
  <c r="B279" i="1"/>
  <c r="D279" i="1"/>
  <c r="F279" i="1"/>
  <c r="C280" i="1"/>
  <c r="E280" i="1"/>
  <c r="B281" i="1"/>
  <c r="D281" i="1"/>
  <c r="F281" i="1"/>
  <c r="C282" i="1"/>
  <c r="E282" i="1"/>
  <c r="B283" i="1"/>
  <c r="D283" i="1"/>
  <c r="F283" i="1"/>
  <c r="C284" i="1"/>
  <c r="E284" i="1"/>
  <c r="B285" i="1"/>
  <c r="D285" i="1"/>
  <c r="F285" i="1"/>
  <c r="C286" i="1"/>
  <c r="E286" i="1"/>
  <c r="B287" i="1"/>
  <c r="D287" i="1"/>
  <c r="F287" i="1"/>
  <c r="C288" i="1"/>
  <c r="E288" i="1"/>
  <c r="B289" i="1"/>
  <c r="D289" i="1"/>
  <c r="F289" i="1"/>
  <c r="C290" i="1"/>
  <c r="E290" i="1"/>
  <c r="B291" i="1"/>
  <c r="D7" i="1"/>
  <c r="E108" i="1"/>
  <c r="F111" i="1"/>
  <c r="B115" i="1"/>
  <c r="C118" i="1"/>
  <c r="D121" i="1"/>
  <c r="E124" i="1"/>
  <c r="F127" i="1"/>
  <c r="B131" i="1"/>
  <c r="C134" i="1"/>
  <c r="D137" i="1"/>
  <c r="C139" i="1"/>
  <c r="F140" i="1"/>
  <c r="D142" i="1"/>
  <c r="B144" i="1"/>
  <c r="E145" i="1"/>
  <c r="C147" i="1"/>
  <c r="F148" i="1"/>
  <c r="D150" i="1"/>
  <c r="B152" i="1"/>
  <c r="E153" i="1"/>
  <c r="C155" i="1"/>
  <c r="F156" i="1"/>
  <c r="D158" i="1"/>
  <c r="B160" i="1"/>
  <c r="E161" i="1"/>
  <c r="C163" i="1"/>
  <c r="F164" i="1"/>
  <c r="D166" i="1"/>
  <c r="B168" i="1"/>
  <c r="E169" i="1"/>
  <c r="C171" i="1"/>
  <c r="F172" i="1"/>
  <c r="D174" i="1"/>
  <c r="B176" i="1"/>
  <c r="E177" i="1"/>
  <c r="C179" i="1"/>
  <c r="F180" i="1"/>
  <c r="D182" i="1"/>
  <c r="B184" i="1"/>
  <c r="E185" i="1"/>
  <c r="C187" i="1"/>
  <c r="F188" i="1"/>
  <c r="E189" i="1"/>
  <c r="D190" i="1"/>
  <c r="C191" i="1"/>
  <c r="B192" i="1"/>
  <c r="F192" i="1"/>
  <c r="E193" i="1"/>
  <c r="D194" i="1"/>
  <c r="C195" i="1"/>
  <c r="B196" i="1"/>
  <c r="F196" i="1"/>
  <c r="E197" i="1"/>
  <c r="D198" i="1"/>
  <c r="C199" i="1"/>
  <c r="B200" i="1"/>
  <c r="F200" i="1"/>
  <c r="E201" i="1"/>
  <c r="D202" i="1"/>
  <c r="C203" i="1"/>
  <c r="B204" i="1"/>
  <c r="F204" i="1"/>
  <c r="E205" i="1"/>
  <c r="D206" i="1"/>
  <c r="C207" i="1"/>
  <c r="B208" i="1"/>
  <c r="F208" i="1"/>
  <c r="E209" i="1"/>
  <c r="D210" i="1"/>
  <c r="C211" i="1"/>
  <c r="B212" i="1"/>
  <c r="F212" i="1"/>
  <c r="E213" i="1"/>
  <c r="D214" i="1"/>
  <c r="C215" i="1"/>
  <c r="B216" i="1"/>
  <c r="F216" i="1"/>
  <c r="E217" i="1"/>
  <c r="D218" i="1"/>
  <c r="C219" i="1"/>
  <c r="B220" i="1"/>
  <c r="F220" i="1"/>
  <c r="E221" i="1"/>
  <c r="D222" i="1"/>
  <c r="C223" i="1"/>
  <c r="B224" i="1"/>
  <c r="F224" i="1"/>
  <c r="E225" i="1"/>
  <c r="D226" i="1"/>
  <c r="C227" i="1"/>
  <c r="B228" i="1"/>
  <c r="F228" i="1"/>
  <c r="E229" i="1"/>
  <c r="D230" i="1"/>
  <c r="C231" i="1"/>
  <c r="B232" i="1"/>
  <c r="F232" i="1"/>
  <c r="E233" i="1"/>
  <c r="D234" i="1"/>
  <c r="C235" i="1"/>
  <c r="B236" i="1"/>
  <c r="F236" i="1"/>
  <c r="E237" i="1"/>
  <c r="D238" i="1"/>
  <c r="C239" i="1"/>
  <c r="B240" i="1"/>
  <c r="F240" i="1"/>
  <c r="E241" i="1"/>
  <c r="D242" i="1"/>
  <c r="C243" i="1"/>
  <c r="B244" i="1"/>
  <c r="F244" i="1"/>
  <c r="E245" i="1"/>
  <c r="D246" i="1"/>
  <c r="C247" i="1"/>
  <c r="B248" i="1"/>
  <c r="F248" i="1"/>
  <c r="E249" i="1"/>
  <c r="D250" i="1"/>
  <c r="C251" i="1"/>
  <c r="B252" i="1"/>
  <c r="F252" i="1"/>
  <c r="E253" i="1"/>
  <c r="D254" i="1"/>
  <c r="C255" i="1"/>
  <c r="B256" i="1"/>
  <c r="F256" i="1"/>
  <c r="E257" i="1"/>
  <c r="D258" i="1"/>
  <c r="C259" i="1"/>
  <c r="B260" i="1"/>
  <c r="F260" i="1"/>
  <c r="E261" i="1"/>
  <c r="D262" i="1"/>
  <c r="C263" i="1"/>
  <c r="B264" i="1"/>
  <c r="F264" i="1"/>
  <c r="E265" i="1"/>
  <c r="D266" i="1"/>
  <c r="C267" i="1"/>
  <c r="B268" i="1"/>
  <c r="F268" i="1"/>
  <c r="E269" i="1"/>
  <c r="D270" i="1"/>
  <c r="C271" i="1"/>
  <c r="B272" i="1"/>
  <c r="F272" i="1"/>
  <c r="E273" i="1"/>
  <c r="D274" i="1"/>
  <c r="C275" i="1"/>
  <c r="B276" i="1"/>
  <c r="F276" i="1"/>
  <c r="E277" i="1"/>
  <c r="D278" i="1"/>
  <c r="C279" i="1"/>
  <c r="B280" i="1"/>
  <c r="F280" i="1"/>
  <c r="E281" i="1"/>
  <c r="D282" i="1"/>
  <c r="C283" i="1"/>
  <c r="B284" i="1"/>
  <c r="F284" i="1"/>
  <c r="E285" i="1"/>
  <c r="D286" i="1"/>
  <c r="C287" i="1"/>
  <c r="B288" i="1"/>
  <c r="F288" i="1"/>
  <c r="E289" i="1"/>
  <c r="D290" i="1"/>
  <c r="C291" i="1"/>
  <c r="E291" i="1"/>
  <c r="B292" i="1"/>
  <c r="D292" i="1"/>
  <c r="F292" i="1"/>
  <c r="C293" i="1"/>
  <c r="E293" i="1"/>
  <c r="B294" i="1"/>
  <c r="D294" i="1"/>
  <c r="F294" i="1"/>
  <c r="C295" i="1"/>
  <c r="E295" i="1"/>
  <c r="B296" i="1"/>
  <c r="D296" i="1"/>
  <c r="F296" i="1"/>
  <c r="C297" i="1"/>
  <c r="E297" i="1"/>
  <c r="B298" i="1"/>
  <c r="D298" i="1"/>
  <c r="F298" i="1"/>
  <c r="C299" i="1"/>
  <c r="E299" i="1"/>
  <c r="B300" i="1"/>
  <c r="D300" i="1"/>
  <c r="F300" i="1"/>
  <c r="C301" i="1"/>
  <c r="E301" i="1"/>
  <c r="B302" i="1"/>
  <c r="D302" i="1"/>
  <c r="F302" i="1"/>
  <c r="C303" i="1"/>
  <c r="E303" i="1"/>
  <c r="B304" i="1"/>
  <c r="D304" i="1"/>
  <c r="F304" i="1"/>
  <c r="C305" i="1"/>
  <c r="E305" i="1"/>
  <c r="B306" i="1"/>
  <c r="D306" i="1"/>
  <c r="F306" i="1"/>
  <c r="C307" i="1"/>
  <c r="E307" i="1"/>
  <c r="B308" i="1"/>
  <c r="D308" i="1"/>
  <c r="F308" i="1"/>
  <c r="C309" i="1"/>
  <c r="E309" i="1"/>
  <c r="B310" i="1"/>
  <c r="D310" i="1"/>
  <c r="F310" i="1"/>
  <c r="C311" i="1"/>
  <c r="E311" i="1"/>
  <c r="B312" i="1"/>
  <c r="D312" i="1"/>
  <c r="F312" i="1"/>
  <c r="C313" i="1"/>
  <c r="E313" i="1"/>
  <c r="B314" i="1"/>
  <c r="D314" i="1"/>
  <c r="F314" i="1"/>
  <c r="C315" i="1"/>
  <c r="E315" i="1"/>
  <c r="B316" i="1"/>
  <c r="D316" i="1"/>
  <c r="F316" i="1"/>
  <c r="C317" i="1"/>
  <c r="E317" i="1"/>
  <c r="B318" i="1"/>
  <c r="D318" i="1"/>
  <c r="F318" i="1"/>
  <c r="C319" i="1"/>
  <c r="E319" i="1"/>
  <c r="B320" i="1"/>
  <c r="D320" i="1"/>
  <c r="F320" i="1"/>
  <c r="C321" i="1"/>
  <c r="E321" i="1"/>
  <c r="B322" i="1"/>
  <c r="D322" i="1"/>
  <c r="F322" i="1"/>
  <c r="C323" i="1"/>
  <c r="E323" i="1"/>
  <c r="B324" i="1"/>
  <c r="D324" i="1"/>
  <c r="F324" i="1"/>
  <c r="C325" i="1"/>
  <c r="E325" i="1"/>
  <c r="B326" i="1"/>
  <c r="D326" i="1"/>
  <c r="F326" i="1"/>
  <c r="C327" i="1"/>
  <c r="E327" i="1"/>
  <c r="B328" i="1"/>
  <c r="D328" i="1"/>
  <c r="F328" i="1"/>
  <c r="C329" i="1"/>
  <c r="E329" i="1"/>
  <c r="B330" i="1"/>
  <c r="D330" i="1"/>
  <c r="F330" i="1"/>
  <c r="C331" i="1"/>
  <c r="E331" i="1"/>
  <c r="B332" i="1"/>
  <c r="D332" i="1"/>
  <c r="F332" i="1"/>
  <c r="C333" i="1"/>
  <c r="E333" i="1"/>
  <c r="B334" i="1"/>
  <c r="D334" i="1"/>
  <c r="F334" i="1"/>
  <c r="C335" i="1"/>
  <c r="E335" i="1"/>
  <c r="B336" i="1"/>
  <c r="D336" i="1"/>
  <c r="F336" i="1"/>
  <c r="C337" i="1"/>
  <c r="E337" i="1"/>
  <c r="B338" i="1"/>
  <c r="D338" i="1"/>
  <c r="F338" i="1"/>
  <c r="C339" i="1"/>
  <c r="E339" i="1"/>
  <c r="B340" i="1"/>
  <c r="D340" i="1"/>
  <c r="F340" i="1"/>
  <c r="C341" i="1"/>
  <c r="E341" i="1"/>
  <c r="B342" i="1"/>
  <c r="D342" i="1"/>
  <c r="F342" i="1"/>
  <c r="C343" i="1"/>
  <c r="E343" i="1"/>
  <c r="B344" i="1"/>
  <c r="D344" i="1"/>
  <c r="F344" i="1"/>
  <c r="C345" i="1"/>
  <c r="E345" i="1"/>
  <c r="B346" i="1"/>
  <c r="D346" i="1"/>
  <c r="F346" i="1"/>
  <c r="C347" i="1"/>
  <c r="E347" i="1"/>
  <c r="B348" i="1"/>
  <c r="D348" i="1"/>
  <c r="F348" i="1"/>
  <c r="C349" i="1"/>
  <c r="E349" i="1"/>
  <c r="B350" i="1"/>
  <c r="D350" i="1"/>
  <c r="F350" i="1"/>
  <c r="C351" i="1"/>
  <c r="E351" i="1"/>
  <c r="B352" i="1"/>
  <c r="D352" i="1"/>
  <c r="F352" i="1"/>
  <c r="C353" i="1"/>
  <c r="E353" i="1"/>
  <c r="B354" i="1"/>
  <c r="D354" i="1"/>
  <c r="F354" i="1"/>
  <c r="C355" i="1"/>
  <c r="E355" i="1"/>
  <c r="B356" i="1"/>
  <c r="D356" i="1"/>
  <c r="F356" i="1"/>
  <c r="C357" i="1"/>
  <c r="E357" i="1"/>
  <c r="B358" i="1"/>
  <c r="D358" i="1"/>
  <c r="F358" i="1"/>
  <c r="C359" i="1"/>
  <c r="E359" i="1"/>
  <c r="B360" i="1"/>
  <c r="D360" i="1"/>
  <c r="F360" i="1"/>
  <c r="C361" i="1"/>
  <c r="E361" i="1"/>
  <c r="B362" i="1"/>
  <c r="D362" i="1"/>
  <c r="F362" i="1"/>
  <c r="C363" i="1"/>
  <c r="E363" i="1"/>
  <c r="B364" i="1"/>
  <c r="D364" i="1"/>
  <c r="F364" i="1"/>
  <c r="C365" i="1"/>
  <c r="E365" i="1"/>
  <c r="B366" i="1"/>
  <c r="D366" i="1"/>
  <c r="F366" i="1"/>
  <c r="C367" i="1"/>
  <c r="E367" i="1"/>
  <c r="B368" i="1"/>
  <c r="D368" i="1"/>
  <c r="F368" i="1"/>
  <c r="C369" i="1"/>
  <c r="E369" i="1"/>
  <c r="B370" i="1"/>
  <c r="D370" i="1"/>
  <c r="F370" i="1"/>
  <c r="C371" i="1"/>
  <c r="E371" i="1"/>
  <c r="B372" i="1"/>
  <c r="D372" i="1"/>
  <c r="F372" i="1"/>
  <c r="C373" i="1"/>
  <c r="E373" i="1"/>
  <c r="B374" i="1"/>
  <c r="D374" i="1"/>
  <c r="F374" i="1"/>
  <c r="C375" i="1"/>
  <c r="E375" i="1"/>
  <c r="B376" i="1"/>
  <c r="D376" i="1"/>
  <c r="F376" i="1"/>
  <c r="C377" i="1"/>
  <c r="E377" i="1"/>
  <c r="B378" i="1"/>
  <c r="D378" i="1"/>
  <c r="F378" i="1"/>
  <c r="C379" i="1"/>
  <c r="E379" i="1"/>
  <c r="B380" i="1"/>
  <c r="D380" i="1"/>
  <c r="F380" i="1"/>
  <c r="C381" i="1"/>
  <c r="E381" i="1"/>
  <c r="B382" i="1"/>
  <c r="D382" i="1"/>
  <c r="F382" i="1"/>
  <c r="C383" i="1"/>
  <c r="E383" i="1"/>
  <c r="B384" i="1"/>
  <c r="D384" i="1"/>
  <c r="F384" i="1"/>
  <c r="C385" i="1"/>
  <c r="E385" i="1"/>
  <c r="B386" i="1"/>
  <c r="D386" i="1"/>
  <c r="F386" i="1"/>
  <c r="C387" i="1"/>
  <c r="E387" i="1"/>
  <c r="B388" i="1"/>
  <c r="D388" i="1"/>
  <c r="F388" i="1"/>
  <c r="C389" i="1"/>
  <c r="E389" i="1"/>
  <c r="B390" i="1"/>
  <c r="D390" i="1"/>
  <c r="F390" i="1"/>
  <c r="C391" i="1"/>
  <c r="E391" i="1"/>
  <c r="B392" i="1"/>
  <c r="D392" i="1"/>
  <c r="F392" i="1"/>
  <c r="C393" i="1"/>
  <c r="E393" i="1"/>
  <c r="B394" i="1"/>
  <c r="D394" i="1"/>
  <c r="F394" i="1"/>
  <c r="C395" i="1"/>
  <c r="E395" i="1"/>
  <c r="B396" i="1"/>
  <c r="D396" i="1"/>
  <c r="F396" i="1"/>
  <c r="C397" i="1"/>
  <c r="E397" i="1"/>
  <c r="B398" i="1"/>
  <c r="D398" i="1"/>
  <c r="F398" i="1"/>
  <c r="C399" i="1"/>
  <c r="E399" i="1"/>
  <c r="B400" i="1"/>
  <c r="D400" i="1"/>
  <c r="F400" i="1"/>
  <c r="C401" i="1"/>
  <c r="E401" i="1"/>
  <c r="B402" i="1"/>
  <c r="D402" i="1"/>
  <c r="F402" i="1"/>
  <c r="C403" i="1"/>
  <c r="E403" i="1"/>
  <c r="B404" i="1"/>
  <c r="D404" i="1"/>
  <c r="F404" i="1"/>
  <c r="C405" i="1"/>
  <c r="E405" i="1"/>
  <c r="B406" i="1"/>
  <c r="D406" i="1"/>
  <c r="F406" i="1"/>
  <c r="C407" i="1"/>
  <c r="E407" i="1"/>
  <c r="B408" i="1"/>
  <c r="D408" i="1"/>
  <c r="F408" i="1"/>
  <c r="C409" i="1"/>
  <c r="E409" i="1"/>
  <c r="B410" i="1"/>
  <c r="D410" i="1"/>
  <c r="F410" i="1"/>
  <c r="C411" i="1"/>
  <c r="E411" i="1"/>
  <c r="B412" i="1"/>
  <c r="D412" i="1"/>
  <c r="F412" i="1"/>
  <c r="C413" i="1"/>
  <c r="E413" i="1"/>
  <c r="B414" i="1"/>
  <c r="D414" i="1"/>
  <c r="F414" i="1"/>
  <c r="C415" i="1"/>
  <c r="E415" i="1"/>
  <c r="B416" i="1"/>
  <c r="D416" i="1"/>
  <c r="F416" i="1"/>
  <c r="C417" i="1"/>
  <c r="E417" i="1"/>
  <c r="B418" i="1"/>
  <c r="D418" i="1"/>
  <c r="F418" i="1"/>
  <c r="C419" i="1"/>
  <c r="E419" i="1"/>
  <c r="B420" i="1"/>
  <c r="D420" i="1"/>
  <c r="F420" i="1"/>
  <c r="C421" i="1"/>
  <c r="E421" i="1"/>
  <c r="B422" i="1"/>
  <c r="D422" i="1"/>
  <c r="F422" i="1"/>
  <c r="C423" i="1"/>
  <c r="E423" i="1"/>
  <c r="B424" i="1"/>
  <c r="D424" i="1"/>
  <c r="F424" i="1"/>
  <c r="C425" i="1"/>
  <c r="E425" i="1"/>
  <c r="B426" i="1"/>
  <c r="D426" i="1"/>
  <c r="F426" i="1"/>
  <c r="C427" i="1"/>
  <c r="E427" i="1"/>
  <c r="B428" i="1"/>
  <c r="D428" i="1"/>
  <c r="F428" i="1"/>
  <c r="C429" i="1"/>
  <c r="E429" i="1"/>
  <c r="B430" i="1"/>
  <c r="D430" i="1"/>
  <c r="F430" i="1"/>
  <c r="C431" i="1"/>
  <c r="E431" i="1"/>
  <c r="B432" i="1"/>
  <c r="D432" i="1"/>
  <c r="F432" i="1"/>
  <c r="C433" i="1"/>
  <c r="E433" i="1"/>
  <c r="B434" i="1"/>
  <c r="D434" i="1"/>
  <c r="F434" i="1"/>
  <c r="C435" i="1"/>
  <c r="E435" i="1"/>
  <c r="B436" i="1"/>
  <c r="D436" i="1"/>
  <c r="F436" i="1"/>
  <c r="C437" i="1"/>
  <c r="E437" i="1"/>
  <c r="B438" i="1"/>
  <c r="D438" i="1"/>
  <c r="F438" i="1"/>
  <c r="C439" i="1"/>
  <c r="E439" i="1"/>
  <c r="B440" i="1"/>
  <c r="D440" i="1"/>
  <c r="F440" i="1"/>
  <c r="C441" i="1"/>
  <c r="E441" i="1"/>
  <c r="B442" i="1"/>
  <c r="D442" i="1"/>
  <c r="F442" i="1"/>
  <c r="C443" i="1"/>
  <c r="E443" i="1"/>
  <c r="B444" i="1"/>
  <c r="D444" i="1"/>
  <c r="F444" i="1"/>
  <c r="C445" i="1"/>
  <c r="E445" i="1"/>
  <c r="B446" i="1"/>
  <c r="D446" i="1"/>
  <c r="F446" i="1"/>
  <c r="C447" i="1"/>
  <c r="E447" i="1"/>
  <c r="B448" i="1"/>
  <c r="D448" i="1"/>
  <c r="F448" i="1"/>
  <c r="C449" i="1"/>
  <c r="E449" i="1"/>
  <c r="B450" i="1"/>
  <c r="D450" i="1"/>
  <c r="F450" i="1"/>
  <c r="C451" i="1"/>
  <c r="E451" i="1"/>
  <c r="B452" i="1"/>
  <c r="D452" i="1"/>
  <c r="F452" i="1"/>
  <c r="C453" i="1"/>
  <c r="E453" i="1"/>
  <c r="B454" i="1"/>
  <c r="D454" i="1"/>
  <c r="F454" i="1"/>
  <c r="C455" i="1"/>
  <c r="E455" i="1"/>
  <c r="B456" i="1"/>
  <c r="D456" i="1"/>
  <c r="F456" i="1"/>
  <c r="C457" i="1"/>
  <c r="E457" i="1"/>
  <c r="B458" i="1"/>
  <c r="D458" i="1"/>
  <c r="F458" i="1"/>
  <c r="C459" i="1"/>
  <c r="E459" i="1"/>
  <c r="B460" i="1"/>
  <c r="D460" i="1"/>
  <c r="F460" i="1"/>
  <c r="C461" i="1"/>
  <c r="E461" i="1"/>
  <c r="B462" i="1"/>
  <c r="D462" i="1"/>
  <c r="F462" i="1"/>
  <c r="C463" i="1"/>
  <c r="E463" i="1"/>
  <c r="B464" i="1"/>
  <c r="D464" i="1"/>
  <c r="F464" i="1"/>
  <c r="C465" i="1"/>
  <c r="E465" i="1"/>
  <c r="B466" i="1"/>
  <c r="D466" i="1"/>
  <c r="F466" i="1"/>
  <c r="C467" i="1"/>
  <c r="E467" i="1"/>
  <c r="B468" i="1"/>
  <c r="D468" i="1"/>
  <c r="F468" i="1"/>
  <c r="C469" i="1"/>
  <c r="E469" i="1"/>
  <c r="B470" i="1"/>
  <c r="D470" i="1"/>
  <c r="F470" i="1"/>
  <c r="C471" i="1"/>
  <c r="E471" i="1"/>
  <c r="B472" i="1"/>
  <c r="D472" i="1"/>
  <c r="F472" i="1"/>
  <c r="C473" i="1"/>
  <c r="E473" i="1"/>
  <c r="B474" i="1"/>
  <c r="D474" i="1"/>
  <c r="F474" i="1"/>
  <c r="C475" i="1"/>
  <c r="E475" i="1"/>
  <c r="B476" i="1"/>
  <c r="D476" i="1"/>
  <c r="F476" i="1"/>
  <c r="C477" i="1"/>
  <c r="E477" i="1"/>
  <c r="B478" i="1"/>
  <c r="D478" i="1"/>
  <c r="F478" i="1"/>
  <c r="C479" i="1"/>
  <c r="E479" i="1"/>
  <c r="B480" i="1"/>
  <c r="D480" i="1"/>
  <c r="F480" i="1"/>
  <c r="C481" i="1"/>
  <c r="E481" i="1"/>
  <c r="B482" i="1"/>
  <c r="D482" i="1"/>
  <c r="F482" i="1"/>
  <c r="C483" i="1"/>
  <c r="E483" i="1"/>
  <c r="B484" i="1"/>
  <c r="D484" i="1"/>
  <c r="F484" i="1"/>
  <c r="C485" i="1"/>
  <c r="E485" i="1"/>
  <c r="B486" i="1"/>
  <c r="D486" i="1"/>
  <c r="F486" i="1"/>
  <c r="C487" i="1"/>
  <c r="E487" i="1"/>
  <c r="B488" i="1"/>
  <c r="D488" i="1"/>
  <c r="F488" i="1"/>
  <c r="C489" i="1"/>
  <c r="E489" i="1"/>
  <c r="B490" i="1"/>
  <c r="D490" i="1"/>
  <c r="F490" i="1"/>
  <c r="C491" i="1"/>
  <c r="E491" i="1"/>
  <c r="B492" i="1"/>
  <c r="D492" i="1"/>
  <c r="F492" i="1"/>
  <c r="C493" i="1"/>
  <c r="E493" i="1"/>
  <c r="B494" i="1"/>
  <c r="D494" i="1"/>
  <c r="F494" i="1"/>
  <c r="C495" i="1"/>
  <c r="E495" i="1"/>
  <c r="B107" i="1"/>
  <c r="D113" i="1"/>
  <c r="F119" i="1"/>
  <c r="C126" i="1"/>
  <c r="E132" i="1"/>
  <c r="D138" i="1"/>
  <c r="E141" i="1"/>
  <c r="F144" i="1"/>
  <c r="B148" i="1"/>
  <c r="C151" i="1"/>
  <c r="D154" i="1"/>
  <c r="E157" i="1"/>
  <c r="F160" i="1"/>
  <c r="B164" i="1"/>
  <c r="C167" i="1"/>
  <c r="D170" i="1"/>
  <c r="E173" i="1"/>
  <c r="F176" i="1"/>
  <c r="B180" i="1"/>
  <c r="C183" i="1"/>
  <c r="D186" i="1"/>
  <c r="C189" i="1"/>
  <c r="F190" i="1"/>
  <c r="D192" i="1"/>
  <c r="B194" i="1"/>
  <c r="E195" i="1"/>
  <c r="C197" i="1"/>
  <c r="F198" i="1"/>
  <c r="D200" i="1"/>
  <c r="B202" i="1"/>
  <c r="E203" i="1"/>
  <c r="C205" i="1"/>
  <c r="F206" i="1"/>
  <c r="D208" i="1"/>
  <c r="B210" i="1"/>
  <c r="E211" i="1"/>
  <c r="C213" i="1"/>
  <c r="F214" i="1"/>
  <c r="D216" i="1"/>
  <c r="B218" i="1"/>
  <c r="E219" i="1"/>
  <c r="C221" i="1"/>
  <c r="F222" i="1"/>
  <c r="D224" i="1"/>
  <c r="B226" i="1"/>
  <c r="E227" i="1"/>
  <c r="C229" i="1"/>
  <c r="F230" i="1"/>
  <c r="D232" i="1"/>
  <c r="B234" i="1"/>
  <c r="E235" i="1"/>
  <c r="C237" i="1"/>
  <c r="F238" i="1"/>
  <c r="D240" i="1"/>
  <c r="B242" i="1"/>
  <c r="E243" i="1"/>
  <c r="C245" i="1"/>
  <c r="F246" i="1"/>
  <c r="D248" i="1"/>
  <c r="B250" i="1"/>
  <c r="E251" i="1"/>
  <c r="C253" i="1"/>
  <c r="F254" i="1"/>
  <c r="D256" i="1"/>
  <c r="B258" i="1"/>
  <c r="E259" i="1"/>
  <c r="C261" i="1"/>
  <c r="F262" i="1"/>
  <c r="D264" i="1"/>
  <c r="B266" i="1"/>
  <c r="E267" i="1"/>
  <c r="C269" i="1"/>
  <c r="F270" i="1"/>
  <c r="D272" i="1"/>
  <c r="B274" i="1"/>
  <c r="E275" i="1"/>
  <c r="C277" i="1"/>
  <c r="F278" i="1"/>
  <c r="D280" i="1"/>
  <c r="B282" i="1"/>
  <c r="E283" i="1"/>
  <c r="C285" i="1"/>
  <c r="F286" i="1"/>
  <c r="D288" i="1"/>
  <c r="B290" i="1"/>
  <c r="D291" i="1"/>
  <c r="C292" i="1"/>
  <c r="B293" i="1"/>
  <c r="F293" i="1"/>
  <c r="E294" i="1"/>
  <c r="D295" i="1"/>
  <c r="C296" i="1"/>
  <c r="B297" i="1"/>
  <c r="F297" i="1"/>
  <c r="E298" i="1"/>
  <c r="D299" i="1"/>
  <c r="C300" i="1"/>
  <c r="B301" i="1"/>
  <c r="F301" i="1"/>
  <c r="E302" i="1"/>
  <c r="D303" i="1"/>
  <c r="C304" i="1"/>
  <c r="B305" i="1"/>
  <c r="F305" i="1"/>
  <c r="E306" i="1"/>
  <c r="D307" i="1"/>
  <c r="C308" i="1"/>
  <c r="B309" i="1"/>
  <c r="F309" i="1"/>
  <c r="E310" i="1"/>
  <c r="D311" i="1"/>
  <c r="C312" i="1"/>
  <c r="B313" i="1"/>
  <c r="F313" i="1"/>
  <c r="E314" i="1"/>
  <c r="D315" i="1"/>
  <c r="C316" i="1"/>
  <c r="B317" i="1"/>
  <c r="F317" i="1"/>
  <c r="E318" i="1"/>
  <c r="D319" i="1"/>
  <c r="C320" i="1"/>
  <c r="B321" i="1"/>
  <c r="F321" i="1"/>
  <c r="E322" i="1"/>
  <c r="D323" i="1"/>
  <c r="C324" i="1"/>
  <c r="B325" i="1"/>
  <c r="F325" i="1"/>
  <c r="E326" i="1"/>
  <c r="D327" i="1"/>
  <c r="C328" i="1"/>
  <c r="B329" i="1"/>
  <c r="F329" i="1"/>
  <c r="E330" i="1"/>
  <c r="D331" i="1"/>
  <c r="C332" i="1"/>
  <c r="B333" i="1"/>
  <c r="F333" i="1"/>
  <c r="E334" i="1"/>
  <c r="D335" i="1"/>
  <c r="C336" i="1"/>
  <c r="B337" i="1"/>
  <c r="F337" i="1"/>
  <c r="E338" i="1"/>
  <c r="D339" i="1"/>
  <c r="C340" i="1"/>
  <c r="B341" i="1"/>
  <c r="F341" i="1"/>
  <c r="E342" i="1"/>
  <c r="D343" i="1"/>
  <c r="C344" i="1"/>
  <c r="B345" i="1"/>
  <c r="F345" i="1"/>
  <c r="E346" i="1"/>
  <c r="D347" i="1"/>
  <c r="C348" i="1"/>
  <c r="B349" i="1"/>
  <c r="F349" i="1"/>
  <c r="E350" i="1"/>
  <c r="D351" i="1"/>
  <c r="C352" i="1"/>
  <c r="B353" i="1"/>
  <c r="F353" i="1"/>
  <c r="E354" i="1"/>
  <c r="D355" i="1"/>
  <c r="C356" i="1"/>
  <c r="B357" i="1"/>
  <c r="F357" i="1"/>
  <c r="E358" i="1"/>
  <c r="D359" i="1"/>
  <c r="C360" i="1"/>
  <c r="B361" i="1"/>
  <c r="F361" i="1"/>
  <c r="E362" i="1"/>
  <c r="D363" i="1"/>
  <c r="C364" i="1"/>
  <c r="B365" i="1"/>
  <c r="F365" i="1"/>
  <c r="E366" i="1"/>
  <c r="D367" i="1"/>
  <c r="C368" i="1"/>
  <c r="B369" i="1"/>
  <c r="F369" i="1"/>
  <c r="E370" i="1"/>
  <c r="D371" i="1"/>
  <c r="C372" i="1"/>
  <c r="B373" i="1"/>
  <c r="F373" i="1"/>
  <c r="E374" i="1"/>
  <c r="D375" i="1"/>
  <c r="C376" i="1"/>
  <c r="B377" i="1"/>
  <c r="F377" i="1"/>
  <c r="E378" i="1"/>
  <c r="D379" i="1"/>
  <c r="C380" i="1"/>
  <c r="B381" i="1"/>
  <c r="F381" i="1"/>
  <c r="E382" i="1"/>
  <c r="D383" i="1"/>
  <c r="C384" i="1"/>
  <c r="B385" i="1"/>
  <c r="F385" i="1"/>
  <c r="E386" i="1"/>
  <c r="D387" i="1"/>
  <c r="C388" i="1"/>
  <c r="B389" i="1"/>
  <c r="F389" i="1"/>
  <c r="E390" i="1"/>
  <c r="D391" i="1"/>
  <c r="C392" i="1"/>
  <c r="B393" i="1"/>
  <c r="F393" i="1"/>
  <c r="E394" i="1"/>
  <c r="D395" i="1"/>
  <c r="C396" i="1"/>
  <c r="B397" i="1"/>
  <c r="F397" i="1"/>
  <c r="E398" i="1"/>
  <c r="D399" i="1"/>
  <c r="C400" i="1"/>
  <c r="B401" i="1"/>
  <c r="F401" i="1"/>
  <c r="E402" i="1"/>
  <c r="D403" i="1"/>
  <c r="C404" i="1"/>
  <c r="B405" i="1"/>
  <c r="F405" i="1"/>
  <c r="E406" i="1"/>
  <c r="D407" i="1"/>
  <c r="C408" i="1"/>
  <c r="B409" i="1"/>
  <c r="F409" i="1"/>
  <c r="E410" i="1"/>
  <c r="D411" i="1"/>
  <c r="C412" i="1"/>
  <c r="B413" i="1"/>
  <c r="F413" i="1"/>
  <c r="E414" i="1"/>
  <c r="D415" i="1"/>
  <c r="C416" i="1"/>
  <c r="B417" i="1"/>
  <c r="F417" i="1"/>
  <c r="E418" i="1"/>
  <c r="D419" i="1"/>
  <c r="C420" i="1"/>
  <c r="B421" i="1"/>
  <c r="F421" i="1"/>
  <c r="E422" i="1"/>
  <c r="D423" i="1"/>
  <c r="C424" i="1"/>
  <c r="B425" i="1"/>
  <c r="F425" i="1"/>
  <c r="E426" i="1"/>
  <c r="D427" i="1"/>
  <c r="C428" i="1"/>
  <c r="B429" i="1"/>
  <c r="F429" i="1"/>
  <c r="E430" i="1"/>
  <c r="D431" i="1"/>
  <c r="C432" i="1"/>
  <c r="B433" i="1"/>
  <c r="F433" i="1"/>
  <c r="E434" i="1"/>
  <c r="D435" i="1"/>
  <c r="C436" i="1"/>
  <c r="B437" i="1"/>
  <c r="F437" i="1"/>
  <c r="E438" i="1"/>
  <c r="D439" i="1"/>
  <c r="C440" i="1"/>
  <c r="B441" i="1"/>
  <c r="F441" i="1"/>
  <c r="E442" i="1"/>
  <c r="D443" i="1"/>
  <c r="C444" i="1"/>
  <c r="B445" i="1"/>
  <c r="F445" i="1"/>
  <c r="E446" i="1"/>
  <c r="D447" i="1"/>
  <c r="C448" i="1"/>
  <c r="B449" i="1"/>
  <c r="F449" i="1"/>
  <c r="E450" i="1"/>
  <c r="D451" i="1"/>
  <c r="C452" i="1"/>
  <c r="B453" i="1"/>
  <c r="F453" i="1"/>
  <c r="E454" i="1"/>
  <c r="D455" i="1"/>
  <c r="C456" i="1"/>
  <c r="B457" i="1"/>
  <c r="F457" i="1"/>
  <c r="E458" i="1"/>
  <c r="D459" i="1"/>
  <c r="C460" i="1"/>
  <c r="B461" i="1"/>
  <c r="F461" i="1"/>
  <c r="E462" i="1"/>
  <c r="D463" i="1"/>
  <c r="C464" i="1"/>
  <c r="B465" i="1"/>
  <c r="F465" i="1"/>
  <c r="E466" i="1"/>
  <c r="D467" i="1"/>
  <c r="C468" i="1"/>
  <c r="B469" i="1"/>
  <c r="F469" i="1"/>
  <c r="E470" i="1"/>
  <c r="D471" i="1"/>
  <c r="C472" i="1"/>
  <c r="B473" i="1"/>
  <c r="F473" i="1"/>
  <c r="E474" i="1"/>
  <c r="D475" i="1"/>
  <c r="C476" i="1"/>
  <c r="B477" i="1"/>
  <c r="F477" i="1"/>
  <c r="E478" i="1"/>
  <c r="D479" i="1"/>
  <c r="C480" i="1"/>
  <c r="B481" i="1"/>
  <c r="F481" i="1"/>
  <c r="E482" i="1"/>
  <c r="D483" i="1"/>
  <c r="C484" i="1"/>
  <c r="B485" i="1"/>
  <c r="F485" i="1"/>
  <c r="E486" i="1"/>
  <c r="D487" i="1"/>
  <c r="C488" i="1"/>
  <c r="B489" i="1"/>
  <c r="F489" i="1"/>
  <c r="E490" i="1"/>
  <c r="D491" i="1"/>
  <c r="C492" i="1"/>
  <c r="B493" i="1"/>
  <c r="F493" i="1"/>
  <c r="E494" i="1"/>
  <c r="D495" i="1"/>
  <c r="B496" i="1"/>
  <c r="D496" i="1"/>
  <c r="F496" i="1"/>
  <c r="C497" i="1"/>
  <c r="E497" i="1"/>
  <c r="B498" i="1"/>
  <c r="D498" i="1"/>
  <c r="F498" i="1"/>
  <c r="C499" i="1"/>
  <c r="E499" i="1"/>
  <c r="B500" i="1"/>
  <c r="D500" i="1"/>
  <c r="F500" i="1"/>
  <c r="C501" i="1"/>
  <c r="E501" i="1"/>
  <c r="B502" i="1"/>
  <c r="D502" i="1"/>
  <c r="F502" i="1"/>
  <c r="C503" i="1"/>
  <c r="E503" i="1"/>
  <c r="B504" i="1"/>
  <c r="D504" i="1"/>
  <c r="F504" i="1"/>
  <c r="C505" i="1"/>
  <c r="E505" i="1"/>
  <c r="B506" i="1"/>
  <c r="D506" i="1"/>
  <c r="F506" i="1"/>
  <c r="C507" i="1"/>
  <c r="E507" i="1"/>
  <c r="B508" i="1"/>
  <c r="D508" i="1"/>
  <c r="F508" i="1"/>
  <c r="C509" i="1"/>
  <c r="E509" i="1"/>
  <c r="B510" i="1"/>
  <c r="D510" i="1"/>
  <c r="F510" i="1"/>
  <c r="C511" i="1"/>
  <c r="E511" i="1"/>
  <c r="B512" i="1"/>
  <c r="D512" i="1"/>
  <c r="F512" i="1"/>
  <c r="C513" i="1"/>
  <c r="E513" i="1"/>
  <c r="B514" i="1"/>
  <c r="D514" i="1"/>
  <c r="F514" i="1"/>
  <c r="C515" i="1"/>
  <c r="E515" i="1"/>
  <c r="B516" i="1"/>
  <c r="D516" i="1"/>
  <c r="F516" i="1"/>
  <c r="C517" i="1"/>
  <c r="E517" i="1"/>
  <c r="B518" i="1"/>
  <c r="D518" i="1"/>
  <c r="F518" i="1"/>
  <c r="C519" i="1"/>
  <c r="E519" i="1"/>
  <c r="B520" i="1"/>
  <c r="D520" i="1"/>
  <c r="F520" i="1"/>
  <c r="C521" i="1"/>
  <c r="E521" i="1"/>
  <c r="B522" i="1"/>
  <c r="D522" i="1"/>
  <c r="F522" i="1"/>
  <c r="C523" i="1"/>
  <c r="E523" i="1"/>
  <c r="B524" i="1"/>
  <c r="D524" i="1"/>
  <c r="F524" i="1"/>
  <c r="C525" i="1"/>
  <c r="E525" i="1"/>
  <c r="B526" i="1"/>
  <c r="D526" i="1"/>
  <c r="F526" i="1"/>
  <c r="C527" i="1"/>
  <c r="E527" i="1"/>
  <c r="B528" i="1"/>
  <c r="D528" i="1"/>
  <c r="F528" i="1"/>
  <c r="C529" i="1"/>
  <c r="E529" i="1"/>
  <c r="B530" i="1"/>
  <c r="D530" i="1"/>
  <c r="F530" i="1"/>
  <c r="C531" i="1"/>
  <c r="E531" i="1"/>
  <c r="B532" i="1"/>
  <c r="D532" i="1"/>
  <c r="F532" i="1"/>
  <c r="C533" i="1"/>
  <c r="E533" i="1"/>
  <c r="B534" i="1"/>
  <c r="D534" i="1"/>
  <c r="F534" i="1"/>
  <c r="C535" i="1"/>
  <c r="E535" i="1"/>
  <c r="B536" i="1"/>
  <c r="D536" i="1"/>
  <c r="F536" i="1"/>
  <c r="C537" i="1"/>
  <c r="E537" i="1"/>
  <c r="B538" i="1"/>
  <c r="D538" i="1"/>
  <c r="F538" i="1"/>
  <c r="C539" i="1"/>
  <c r="E539" i="1"/>
  <c r="B540" i="1"/>
  <c r="D540" i="1"/>
  <c r="F540" i="1"/>
  <c r="C541" i="1"/>
  <c r="E541" i="1"/>
  <c r="B542" i="1"/>
  <c r="D542" i="1"/>
  <c r="F542" i="1"/>
  <c r="C543" i="1"/>
  <c r="E543" i="1"/>
  <c r="B544" i="1"/>
  <c r="D544" i="1"/>
  <c r="F544" i="1"/>
  <c r="C545" i="1"/>
  <c r="E545" i="1"/>
  <c r="C110" i="1"/>
  <c r="E116" i="1"/>
  <c r="B123" i="1"/>
  <c r="D129" i="1"/>
  <c r="F135" i="1"/>
  <c r="B140" i="1"/>
  <c r="C143" i="1"/>
  <c r="D146" i="1"/>
  <c r="E149" i="1"/>
  <c r="F152" i="1"/>
  <c r="B156" i="1"/>
  <c r="C159" i="1"/>
  <c r="D162" i="1"/>
  <c r="E165" i="1"/>
  <c r="F168" i="1"/>
  <c r="B172" i="1"/>
  <c r="C175" i="1"/>
  <c r="D178" i="1"/>
  <c r="E181" i="1"/>
  <c r="F184" i="1"/>
  <c r="B188" i="1"/>
  <c r="B190" i="1"/>
  <c r="E191" i="1"/>
  <c r="C193" i="1"/>
  <c r="F194" i="1"/>
  <c r="D196" i="1"/>
  <c r="B198" i="1"/>
  <c r="E199" i="1"/>
  <c r="C201" i="1"/>
  <c r="F202" i="1"/>
  <c r="D204" i="1"/>
  <c r="B206" i="1"/>
  <c r="E207" i="1"/>
  <c r="C209" i="1"/>
  <c r="F210" i="1"/>
  <c r="D212" i="1"/>
  <c r="B214" i="1"/>
  <c r="E215" i="1"/>
  <c r="C217" i="1"/>
  <c r="F218" i="1"/>
  <c r="D220" i="1"/>
  <c r="B222" i="1"/>
  <c r="E223" i="1"/>
  <c r="C225" i="1"/>
  <c r="F226" i="1"/>
  <c r="D228" i="1"/>
  <c r="B230" i="1"/>
  <c r="E231" i="1"/>
  <c r="C233" i="1"/>
  <c r="F234" i="1"/>
  <c r="D236" i="1"/>
  <c r="B238" i="1"/>
  <c r="E239" i="1"/>
  <c r="C241" i="1"/>
  <c r="F242" i="1"/>
  <c r="D244" i="1"/>
  <c r="B246" i="1"/>
  <c r="E247" i="1"/>
  <c r="C249" i="1"/>
  <c r="F250" i="1"/>
  <c r="D252" i="1"/>
  <c r="B254" i="1"/>
  <c r="E255" i="1"/>
  <c r="C257" i="1"/>
  <c r="F258" i="1"/>
  <c r="D260" i="1"/>
  <c r="B262" i="1"/>
  <c r="E263" i="1"/>
  <c r="C265" i="1"/>
  <c r="F266" i="1"/>
  <c r="D268" i="1"/>
  <c r="B270" i="1"/>
  <c r="E271" i="1"/>
  <c r="C273" i="1"/>
  <c r="F274" i="1"/>
  <c r="D276" i="1"/>
  <c r="B278" i="1"/>
  <c r="E279" i="1"/>
  <c r="C281" i="1"/>
  <c r="F282" i="1"/>
  <c r="D284" i="1"/>
  <c r="B286" i="1"/>
  <c r="E287" i="1"/>
  <c r="C289" i="1"/>
  <c r="F290" i="1"/>
  <c r="F291" i="1"/>
  <c r="E292" i="1"/>
  <c r="D293" i="1"/>
  <c r="C294" i="1"/>
  <c r="B295" i="1"/>
  <c r="E296" i="1"/>
  <c r="C298" i="1"/>
  <c r="F299" i="1"/>
  <c r="D301" i="1"/>
  <c r="B303" i="1"/>
  <c r="E304" i="1"/>
  <c r="C306" i="1"/>
  <c r="F307" i="1"/>
  <c r="D309" i="1"/>
  <c r="B311" i="1"/>
  <c r="E312" i="1"/>
  <c r="C314" i="1"/>
  <c r="F315" i="1"/>
  <c r="D317" i="1"/>
  <c r="B319" i="1"/>
  <c r="E320" i="1"/>
  <c r="C322" i="1"/>
  <c r="F323" i="1"/>
  <c r="D325" i="1"/>
  <c r="B327" i="1"/>
  <c r="E328" i="1"/>
  <c r="C330" i="1"/>
  <c r="F331" i="1"/>
  <c r="D333" i="1"/>
  <c r="B335" i="1"/>
  <c r="E336" i="1"/>
  <c r="C338" i="1"/>
  <c r="F339" i="1"/>
  <c r="D341" i="1"/>
  <c r="B343" i="1"/>
  <c r="E344" i="1"/>
  <c r="C346" i="1"/>
  <c r="F347" i="1"/>
  <c r="D349" i="1"/>
  <c r="B351" i="1"/>
  <c r="E352" i="1"/>
  <c r="C354" i="1"/>
  <c r="F355" i="1"/>
  <c r="D357" i="1"/>
  <c r="B359" i="1"/>
  <c r="E360" i="1"/>
  <c r="C362" i="1"/>
  <c r="F363" i="1"/>
  <c r="D365" i="1"/>
  <c r="B367" i="1"/>
  <c r="E368" i="1"/>
  <c r="C370" i="1"/>
  <c r="F371" i="1"/>
  <c r="D373" i="1"/>
  <c r="B375" i="1"/>
  <c r="E376" i="1"/>
  <c r="C378" i="1"/>
  <c r="F379" i="1"/>
  <c r="D381" i="1"/>
  <c r="B383" i="1"/>
  <c r="E384" i="1"/>
  <c r="C386" i="1"/>
  <c r="F387" i="1"/>
  <c r="D389" i="1"/>
  <c r="B391" i="1"/>
  <c r="E392" i="1"/>
  <c r="C394" i="1"/>
  <c r="F395" i="1"/>
  <c r="D397" i="1"/>
  <c r="B399" i="1"/>
  <c r="E400" i="1"/>
  <c r="C402" i="1"/>
  <c r="F403" i="1"/>
  <c r="D405" i="1"/>
  <c r="B407" i="1"/>
  <c r="E408" i="1"/>
  <c r="C410" i="1"/>
  <c r="F411" i="1"/>
  <c r="D413" i="1"/>
  <c r="B415" i="1"/>
  <c r="E416" i="1"/>
  <c r="C418" i="1"/>
  <c r="F419" i="1"/>
  <c r="D421" i="1"/>
  <c r="B423" i="1"/>
  <c r="E424" i="1"/>
  <c r="C426" i="1"/>
  <c r="F427" i="1"/>
  <c r="D429" i="1"/>
  <c r="B431" i="1"/>
  <c r="E432" i="1"/>
  <c r="C434" i="1"/>
  <c r="F435" i="1"/>
  <c r="D437" i="1"/>
  <c r="B439" i="1"/>
  <c r="E440" i="1"/>
  <c r="C442" i="1"/>
  <c r="F443" i="1"/>
  <c r="D445" i="1"/>
  <c r="B447" i="1"/>
  <c r="E448" i="1"/>
  <c r="C450" i="1"/>
  <c r="F451" i="1"/>
  <c r="D453" i="1"/>
  <c r="B455" i="1"/>
  <c r="E456" i="1"/>
  <c r="C458" i="1"/>
  <c r="F459" i="1"/>
  <c r="D461" i="1"/>
  <c r="B463" i="1"/>
  <c r="E464" i="1"/>
  <c r="C466" i="1"/>
  <c r="F467" i="1"/>
  <c r="D469" i="1"/>
  <c r="B471" i="1"/>
  <c r="E472" i="1"/>
  <c r="C474" i="1"/>
  <c r="F475" i="1"/>
  <c r="D477" i="1"/>
  <c r="B479" i="1"/>
  <c r="E480" i="1"/>
  <c r="C482" i="1"/>
  <c r="F483" i="1"/>
  <c r="D485" i="1"/>
  <c r="B487" i="1"/>
  <c r="E488" i="1"/>
  <c r="C490" i="1"/>
  <c r="F491" i="1"/>
  <c r="D493" i="1"/>
  <c r="B495" i="1"/>
  <c r="C496" i="1"/>
  <c r="B497" i="1"/>
  <c r="F497" i="1"/>
  <c r="E498" i="1"/>
  <c r="D499" i="1"/>
  <c r="C500" i="1"/>
  <c r="B501" i="1"/>
  <c r="F501" i="1"/>
  <c r="E502" i="1"/>
  <c r="D503" i="1"/>
  <c r="C504" i="1"/>
  <c r="B505" i="1"/>
  <c r="F505" i="1"/>
  <c r="E506" i="1"/>
  <c r="D507" i="1"/>
  <c r="C508" i="1"/>
  <c r="B509" i="1"/>
  <c r="F509" i="1"/>
  <c r="E510" i="1"/>
  <c r="D511" i="1"/>
  <c r="C512" i="1"/>
  <c r="B513" i="1"/>
  <c r="F513" i="1"/>
  <c r="E514" i="1"/>
  <c r="D515" i="1"/>
  <c r="C516" i="1"/>
  <c r="B517" i="1"/>
  <c r="F517" i="1"/>
  <c r="E518" i="1"/>
  <c r="D519" i="1"/>
  <c r="C520" i="1"/>
  <c r="B521" i="1"/>
  <c r="F521" i="1"/>
  <c r="E522" i="1"/>
  <c r="D523" i="1"/>
  <c r="C524" i="1"/>
  <c r="B525" i="1"/>
  <c r="F525" i="1"/>
  <c r="E526" i="1"/>
  <c r="D527" i="1"/>
  <c r="C528" i="1"/>
  <c r="B529" i="1"/>
  <c r="F529" i="1"/>
  <c r="E530" i="1"/>
  <c r="D531" i="1"/>
  <c r="C532" i="1"/>
  <c r="B533" i="1"/>
  <c r="F533" i="1"/>
  <c r="E534" i="1"/>
  <c r="D535" i="1"/>
  <c r="C536" i="1"/>
  <c r="B537" i="1"/>
  <c r="F537" i="1"/>
  <c r="E538" i="1"/>
  <c r="D539" i="1"/>
  <c r="C540" i="1"/>
  <c r="B541" i="1"/>
  <c r="F541" i="1"/>
  <c r="E542" i="1"/>
  <c r="D543" i="1"/>
  <c r="C544" i="1"/>
  <c r="B545" i="1"/>
  <c r="F545" i="1"/>
  <c r="F295" i="1"/>
  <c r="D297" i="1"/>
  <c r="B299" i="1"/>
  <c r="E300" i="1"/>
  <c r="C302" i="1"/>
  <c r="F303" i="1"/>
  <c r="D305" i="1"/>
  <c r="B307" i="1"/>
  <c r="E308" i="1"/>
  <c r="C310" i="1"/>
  <c r="F311" i="1"/>
  <c r="D313" i="1"/>
  <c r="B315" i="1"/>
  <c r="E316" i="1"/>
  <c r="C318" i="1"/>
  <c r="F319" i="1"/>
  <c r="D321" i="1"/>
  <c r="B323" i="1"/>
  <c r="E324" i="1"/>
  <c r="C326" i="1"/>
  <c r="F327" i="1"/>
  <c r="D329" i="1"/>
  <c r="B331" i="1"/>
  <c r="E332" i="1"/>
  <c r="C334" i="1"/>
  <c r="F335" i="1"/>
  <c r="D337" i="1"/>
  <c r="B339" i="1"/>
  <c r="E340" i="1"/>
  <c r="C342" i="1"/>
  <c r="F343" i="1"/>
  <c r="D345" i="1"/>
  <c r="B347" i="1"/>
  <c r="E348" i="1"/>
  <c r="C350" i="1"/>
  <c r="F351" i="1"/>
  <c r="D353" i="1"/>
  <c r="B355" i="1"/>
  <c r="E356" i="1"/>
  <c r="C358" i="1"/>
  <c r="F359" i="1"/>
  <c r="D361" i="1"/>
  <c r="B363" i="1"/>
  <c r="E364" i="1"/>
  <c r="C366" i="1"/>
  <c r="F367" i="1"/>
  <c r="D369" i="1"/>
  <c r="B371" i="1"/>
  <c r="E372" i="1"/>
  <c r="C374" i="1"/>
  <c r="F375" i="1"/>
  <c r="D377" i="1"/>
  <c r="B379" i="1"/>
  <c r="E380" i="1"/>
  <c r="C382" i="1"/>
  <c r="F383" i="1"/>
  <c r="D385" i="1"/>
  <c r="B387" i="1"/>
  <c r="E388" i="1"/>
  <c r="C390" i="1"/>
  <c r="F391" i="1"/>
  <c r="D393" i="1"/>
  <c r="B395" i="1"/>
  <c r="E396" i="1"/>
  <c r="C398" i="1"/>
  <c r="F399" i="1"/>
  <c r="D401" i="1"/>
  <c r="B403" i="1"/>
  <c r="E404" i="1"/>
  <c r="C406" i="1"/>
  <c r="F407" i="1"/>
  <c r="D409" i="1"/>
  <c r="B411" i="1"/>
  <c r="E412" i="1"/>
  <c r="C414" i="1"/>
  <c r="F415" i="1"/>
  <c r="D417" i="1"/>
  <c r="B419" i="1"/>
  <c r="E420" i="1"/>
  <c r="C422" i="1"/>
  <c r="F423" i="1"/>
  <c r="D425" i="1"/>
  <c r="B427" i="1"/>
  <c r="E428" i="1"/>
  <c r="C430" i="1"/>
  <c r="F431" i="1"/>
  <c r="D433" i="1"/>
  <c r="B435" i="1"/>
  <c r="E436" i="1"/>
  <c r="C438" i="1"/>
  <c r="F439" i="1"/>
  <c r="D441" i="1"/>
  <c r="B443" i="1"/>
  <c r="E444" i="1"/>
  <c r="C446" i="1"/>
  <c r="F447" i="1"/>
  <c r="D449" i="1"/>
  <c r="B451" i="1"/>
  <c r="E452" i="1"/>
  <c r="C454" i="1"/>
  <c r="F455" i="1"/>
  <c r="D457" i="1"/>
  <c r="B459" i="1"/>
  <c r="E460" i="1"/>
  <c r="C462" i="1"/>
  <c r="F463" i="1"/>
  <c r="D465" i="1"/>
  <c r="B467" i="1"/>
  <c r="E468" i="1"/>
  <c r="C470" i="1"/>
  <c r="F471" i="1"/>
  <c r="D473" i="1"/>
  <c r="B475" i="1"/>
  <c r="E476" i="1"/>
  <c r="C478" i="1"/>
  <c r="F479" i="1"/>
  <c r="D481" i="1"/>
  <c r="B483" i="1"/>
  <c r="E484" i="1"/>
  <c r="C486" i="1"/>
  <c r="F487" i="1"/>
  <c r="D489" i="1"/>
  <c r="B491" i="1"/>
  <c r="E492" i="1"/>
  <c r="C494" i="1"/>
  <c r="F495" i="1"/>
  <c r="E496" i="1"/>
  <c r="D497" i="1"/>
  <c r="C498" i="1"/>
  <c r="B499" i="1"/>
  <c r="F499" i="1"/>
  <c r="E500" i="1"/>
  <c r="D501" i="1"/>
  <c r="C502" i="1"/>
  <c r="B503" i="1"/>
  <c r="F503" i="1"/>
  <c r="E504" i="1"/>
  <c r="D505" i="1"/>
  <c r="C506" i="1"/>
  <c r="B507" i="1"/>
  <c r="F507" i="1"/>
  <c r="E508" i="1"/>
  <c r="D509" i="1"/>
  <c r="C510" i="1"/>
  <c r="B511" i="1"/>
  <c r="F511" i="1"/>
  <c r="E512" i="1"/>
  <c r="D513" i="1"/>
  <c r="C514" i="1"/>
  <c r="B515" i="1"/>
  <c r="F515" i="1"/>
  <c r="E516" i="1"/>
  <c r="D517" i="1"/>
  <c r="C518" i="1"/>
  <c r="B519" i="1"/>
  <c r="F519" i="1"/>
  <c r="E520" i="1"/>
  <c r="D521" i="1"/>
  <c r="C522" i="1"/>
  <c r="B523" i="1"/>
  <c r="F523" i="1"/>
  <c r="E524" i="1"/>
  <c r="D525" i="1"/>
  <c r="C526" i="1"/>
  <c r="B527" i="1"/>
  <c r="F527" i="1"/>
  <c r="E528" i="1"/>
  <c r="D529" i="1"/>
  <c r="C530" i="1"/>
  <c r="B531" i="1"/>
  <c r="F531" i="1"/>
  <c r="E532" i="1"/>
  <c r="D533" i="1"/>
  <c r="C534" i="1"/>
  <c r="B535" i="1"/>
  <c r="F535" i="1"/>
  <c r="E536" i="1"/>
  <c r="D537" i="1"/>
  <c r="C538" i="1"/>
  <c r="B539" i="1"/>
  <c r="F539" i="1"/>
  <c r="E540" i="1"/>
  <c r="D541" i="1"/>
  <c r="C542" i="1"/>
  <c r="B543" i="1"/>
  <c r="F543" i="1"/>
  <c r="E544" i="1"/>
  <c r="D545" i="1"/>
  <c r="B5" i="6"/>
  <c r="C10" i="1"/>
  <c r="E10" i="1"/>
  <c r="B11" i="1"/>
  <c r="B9" i="6" s="1"/>
  <c r="D11" i="1"/>
  <c r="F11" i="1"/>
  <c r="C12" i="1"/>
  <c r="E12" i="1"/>
  <c r="B13" i="1"/>
  <c r="B11" i="6" s="1"/>
  <c r="C11" i="6" s="1"/>
  <c r="D11" i="6" s="1"/>
  <c r="E11" i="6" s="1"/>
  <c r="F11" i="6" s="1"/>
  <c r="D13" i="1"/>
  <c r="F13" i="1"/>
  <c r="C14" i="1"/>
  <c r="E14" i="1"/>
  <c r="B15" i="1"/>
  <c r="B13" i="6" s="1"/>
  <c r="C13" i="6" s="1"/>
  <c r="D13" i="6" s="1"/>
  <c r="E13" i="6" s="1"/>
  <c r="F13" i="6" s="1"/>
  <c r="D15" i="1"/>
  <c r="F15" i="1"/>
  <c r="C16" i="1"/>
  <c r="E16" i="1"/>
  <c r="B17" i="1"/>
  <c r="B15" i="6" s="1"/>
  <c r="C15" i="6" s="1"/>
  <c r="D15" i="6" s="1"/>
  <c r="E15" i="6" s="1"/>
  <c r="F15" i="6" s="1"/>
  <c r="D17" i="1"/>
  <c r="F17" i="1"/>
  <c r="C18" i="1"/>
  <c r="E18" i="1"/>
  <c r="B19" i="1"/>
  <c r="B17" i="6" s="1"/>
  <c r="C17" i="6" s="1"/>
  <c r="D17" i="6" s="1"/>
  <c r="E17" i="6" s="1"/>
  <c r="F17" i="6" s="1"/>
  <c r="D19" i="1"/>
  <c r="F19" i="1"/>
  <c r="C20" i="1"/>
  <c r="E20" i="1"/>
  <c r="B21" i="1"/>
  <c r="D21" i="1"/>
  <c r="F21" i="1"/>
  <c r="C22" i="1"/>
  <c r="E22" i="1"/>
  <c r="B23" i="1"/>
  <c r="D23" i="1"/>
  <c r="F23" i="1"/>
  <c r="C24" i="1"/>
  <c r="E24" i="1"/>
  <c r="B25" i="1"/>
  <c r="D25" i="1"/>
  <c r="F25" i="1"/>
  <c r="C26" i="1"/>
  <c r="E26" i="1"/>
  <c r="B27" i="1"/>
  <c r="D27" i="1"/>
  <c r="F27" i="1"/>
  <c r="C28" i="1"/>
  <c r="E28" i="1"/>
  <c r="B29" i="1"/>
  <c r="D29" i="1"/>
  <c r="F29" i="1"/>
  <c r="C30" i="1"/>
  <c r="E30" i="1"/>
  <c r="B31" i="1"/>
  <c r="D31" i="1"/>
  <c r="F31" i="1"/>
  <c r="C32" i="1"/>
  <c r="E32" i="1"/>
  <c r="B33" i="1"/>
  <c r="D33" i="1"/>
  <c r="F33" i="1"/>
  <c r="C34" i="1"/>
  <c r="E34" i="1"/>
  <c r="B35" i="1"/>
  <c r="D35" i="1"/>
  <c r="F35" i="1"/>
  <c r="C36" i="1"/>
  <c r="E36" i="1"/>
  <c r="B37" i="1"/>
  <c r="D37" i="1"/>
  <c r="F37" i="1"/>
  <c r="C38" i="1"/>
  <c r="E38" i="1"/>
  <c r="B39" i="1"/>
  <c r="D39" i="1"/>
  <c r="F39" i="1"/>
  <c r="B4" i="6"/>
  <c r="B6" i="6"/>
  <c r="B10" i="1"/>
  <c r="B8" i="6" s="1"/>
  <c r="D10" i="1"/>
  <c r="F10" i="1"/>
  <c r="C11" i="1"/>
  <c r="E11" i="1"/>
  <c r="B12" i="1"/>
  <c r="B10" i="6" s="1"/>
  <c r="C10" i="6" s="1"/>
  <c r="D10" i="6" s="1"/>
  <c r="E10" i="6" s="1"/>
  <c r="F10" i="6" s="1"/>
  <c r="D12" i="1"/>
  <c r="F12" i="1"/>
  <c r="C13" i="1"/>
  <c r="E13" i="1"/>
  <c r="B14" i="1"/>
  <c r="B12" i="6" s="1"/>
  <c r="C12" i="6" s="1"/>
  <c r="D12" i="6" s="1"/>
  <c r="E12" i="6" s="1"/>
  <c r="F12" i="6" s="1"/>
  <c r="D14" i="1"/>
  <c r="F14" i="1"/>
  <c r="C15" i="1"/>
  <c r="E15" i="1"/>
  <c r="B16" i="1"/>
  <c r="B14" i="6" s="1"/>
  <c r="C14" i="6" s="1"/>
  <c r="D14" i="6" s="1"/>
  <c r="E14" i="6" s="1"/>
  <c r="F14" i="6" s="1"/>
  <c r="D16" i="1"/>
  <c r="F16" i="1"/>
  <c r="C17" i="1"/>
  <c r="E17" i="1"/>
  <c r="B18" i="1"/>
  <c r="B16" i="6" s="1"/>
  <c r="C16" i="6" s="1"/>
  <c r="D16" i="6" s="1"/>
  <c r="E16" i="6" s="1"/>
  <c r="F16" i="6" s="1"/>
  <c r="D18" i="1"/>
  <c r="F18" i="1"/>
  <c r="C19" i="1"/>
  <c r="E19" i="1"/>
  <c r="B20" i="1"/>
  <c r="B18" i="6" s="1"/>
  <c r="C18" i="6" s="1"/>
  <c r="D18" i="6" s="1"/>
  <c r="E18" i="6" s="1"/>
  <c r="F18" i="6" s="1"/>
  <c r="D20" i="1"/>
  <c r="F20" i="1"/>
  <c r="C21" i="1"/>
  <c r="E21" i="1"/>
  <c r="B22" i="1"/>
  <c r="D22" i="1"/>
  <c r="F22" i="1"/>
  <c r="C23" i="1"/>
  <c r="E23" i="1"/>
  <c r="B24" i="1"/>
  <c r="D24" i="1"/>
  <c r="F24" i="1"/>
  <c r="C25" i="1"/>
  <c r="E25" i="1"/>
  <c r="B26" i="1"/>
  <c r="D26" i="1"/>
  <c r="F26" i="1"/>
  <c r="C27" i="1"/>
  <c r="E27" i="1"/>
  <c r="B28" i="1"/>
  <c r="D28" i="1"/>
  <c r="F28" i="1"/>
  <c r="C29" i="1"/>
  <c r="E29" i="1"/>
  <c r="B30" i="1"/>
  <c r="D30" i="1"/>
  <c r="F30" i="1"/>
  <c r="C31" i="1"/>
  <c r="E31" i="1"/>
  <c r="B32" i="1"/>
  <c r="D32" i="1"/>
  <c r="F32" i="1"/>
  <c r="C33" i="1"/>
  <c r="E33" i="1"/>
  <c r="B34" i="1"/>
  <c r="D34" i="1"/>
  <c r="F34" i="1"/>
  <c r="C35" i="1"/>
  <c r="E35" i="1"/>
  <c r="B36" i="1"/>
  <c r="D36" i="1"/>
  <c r="C37" i="1"/>
  <c r="B38" i="1"/>
  <c r="F38" i="1"/>
  <c r="E39" i="1"/>
  <c r="C40" i="1"/>
  <c r="E40" i="1"/>
  <c r="B41" i="1"/>
  <c r="D41" i="1"/>
  <c r="F41" i="1"/>
  <c r="C42" i="1"/>
  <c r="E42" i="1"/>
  <c r="B43" i="1"/>
  <c r="D43" i="1"/>
  <c r="F43" i="1"/>
  <c r="C44" i="1"/>
  <c r="E44" i="1"/>
  <c r="B45" i="1"/>
  <c r="D45" i="1"/>
  <c r="F45" i="1"/>
  <c r="C46" i="1"/>
  <c r="E46" i="1"/>
  <c r="B47" i="1"/>
  <c r="D47" i="1"/>
  <c r="F47" i="1"/>
  <c r="C48" i="1"/>
  <c r="E48" i="1"/>
  <c r="B49" i="1"/>
  <c r="D49" i="1"/>
  <c r="F49" i="1"/>
  <c r="C50" i="1"/>
  <c r="E50" i="1"/>
  <c r="B51" i="1"/>
  <c r="D51" i="1"/>
  <c r="F51" i="1"/>
  <c r="C52" i="1"/>
  <c r="E52" i="1"/>
  <c r="B53" i="1"/>
  <c r="D53" i="1"/>
  <c r="F53" i="1"/>
  <c r="C54" i="1"/>
  <c r="E54" i="1"/>
  <c r="B55" i="1"/>
  <c r="D55" i="1"/>
  <c r="F55" i="1"/>
  <c r="C56" i="1"/>
  <c r="E56" i="1"/>
  <c r="B57" i="1"/>
  <c r="D57" i="1"/>
  <c r="F57" i="1"/>
  <c r="C58" i="1"/>
  <c r="E58" i="1"/>
  <c r="B59" i="1"/>
  <c r="D59" i="1"/>
  <c r="F59" i="1"/>
  <c r="C60" i="1"/>
  <c r="E60" i="1"/>
  <c r="B61" i="1"/>
  <c r="D61" i="1"/>
  <c r="F61" i="1"/>
  <c r="C62" i="1"/>
  <c r="E62" i="1"/>
  <c r="B63" i="1"/>
  <c r="D63" i="1"/>
  <c r="F63" i="1"/>
  <c r="C64" i="1"/>
  <c r="E64" i="1"/>
  <c r="B65" i="1"/>
  <c r="D65" i="1"/>
  <c r="F65" i="1"/>
  <c r="C66" i="1"/>
  <c r="E66" i="1"/>
  <c r="B67" i="1"/>
  <c r="D67" i="1"/>
  <c r="F67" i="1"/>
  <c r="C68" i="1"/>
  <c r="E68" i="1"/>
  <c r="B69" i="1"/>
  <c r="D69" i="1"/>
  <c r="F69" i="1"/>
  <c r="C70" i="1"/>
  <c r="E70" i="1"/>
  <c r="B71" i="1"/>
  <c r="D71" i="1"/>
  <c r="F71" i="1"/>
  <c r="C72" i="1"/>
  <c r="F36" i="1"/>
  <c r="E37" i="1"/>
  <c r="D38" i="1"/>
  <c r="C39" i="1"/>
  <c r="B40" i="1"/>
  <c r="D40" i="1"/>
  <c r="F40" i="1"/>
  <c r="C41" i="1"/>
  <c r="E41" i="1"/>
  <c r="B42" i="1"/>
  <c r="D42" i="1"/>
  <c r="F42" i="1"/>
  <c r="C43" i="1"/>
  <c r="E43" i="1"/>
  <c r="B44" i="1"/>
  <c r="D44" i="1"/>
  <c r="F44" i="1"/>
  <c r="C45" i="1"/>
  <c r="E45" i="1"/>
  <c r="B46" i="1"/>
  <c r="D46" i="1"/>
  <c r="F46" i="1"/>
  <c r="C47" i="1"/>
  <c r="E47" i="1"/>
  <c r="B48" i="1"/>
  <c r="D48" i="1"/>
  <c r="F48" i="1"/>
  <c r="C49" i="1"/>
  <c r="E49" i="1"/>
  <c r="B50" i="1"/>
  <c r="D50" i="1"/>
  <c r="F50" i="1"/>
  <c r="C51" i="1"/>
  <c r="E51" i="1"/>
  <c r="B52" i="1"/>
  <c r="D52" i="1"/>
  <c r="F52" i="1"/>
  <c r="C53" i="1"/>
  <c r="E53" i="1"/>
  <c r="B54" i="1"/>
  <c r="D54" i="1"/>
  <c r="F54" i="1"/>
  <c r="C55" i="1"/>
  <c r="E55" i="1"/>
  <c r="B56" i="1"/>
  <c r="D56" i="1"/>
  <c r="F56" i="1"/>
  <c r="C57" i="1"/>
  <c r="E57" i="1"/>
  <c r="B58" i="1"/>
  <c r="D58" i="1"/>
  <c r="F58" i="1"/>
  <c r="C59" i="1"/>
  <c r="E59" i="1"/>
  <c r="B60" i="1"/>
  <c r="D60" i="1"/>
  <c r="F60" i="1"/>
  <c r="C61" i="1"/>
  <c r="E61" i="1"/>
  <c r="B62" i="1"/>
  <c r="D62" i="1"/>
  <c r="F62" i="1"/>
  <c r="C63" i="1"/>
  <c r="E63" i="1"/>
  <c r="B64" i="1"/>
  <c r="D64" i="1"/>
  <c r="F64" i="1"/>
  <c r="C65" i="1"/>
  <c r="E65" i="1"/>
  <c r="B66" i="1"/>
  <c r="D66" i="1"/>
  <c r="F66" i="1"/>
  <c r="C67" i="1"/>
  <c r="E67" i="1"/>
  <c r="B68" i="1"/>
  <c r="D68" i="1"/>
  <c r="F68" i="1"/>
  <c r="C69" i="1"/>
  <c r="E69" i="1"/>
  <c r="B70" i="1"/>
  <c r="D70" i="1"/>
  <c r="F70" i="1"/>
  <c r="C71" i="1"/>
  <c r="E71" i="1"/>
  <c r="B72" i="1"/>
  <c r="E72" i="1"/>
  <c r="B73" i="1"/>
  <c r="D73" i="1"/>
  <c r="F73" i="1"/>
  <c r="C74" i="1"/>
  <c r="E74" i="1"/>
  <c r="B75" i="1"/>
  <c r="D75" i="1"/>
  <c r="F75" i="1"/>
  <c r="C76" i="1"/>
  <c r="E76" i="1"/>
  <c r="B77" i="1"/>
  <c r="D77" i="1"/>
  <c r="F77" i="1"/>
  <c r="C78" i="1"/>
  <c r="E78" i="1"/>
  <c r="B79" i="1"/>
  <c r="D79" i="1"/>
  <c r="F79" i="1"/>
  <c r="C80" i="1"/>
  <c r="E80" i="1"/>
  <c r="B81" i="1"/>
  <c r="D81" i="1"/>
  <c r="F81" i="1"/>
  <c r="C82" i="1"/>
  <c r="E82" i="1"/>
  <c r="B83" i="1"/>
  <c r="D83" i="1"/>
  <c r="F83" i="1"/>
  <c r="C84" i="1"/>
  <c r="E84" i="1"/>
  <c r="B85" i="1"/>
  <c r="D85" i="1"/>
  <c r="F85" i="1"/>
  <c r="C86" i="1"/>
  <c r="E86" i="1"/>
  <c r="B87" i="1"/>
  <c r="D87" i="1"/>
  <c r="F87" i="1"/>
  <c r="C88" i="1"/>
  <c r="E88" i="1"/>
  <c r="B89" i="1"/>
  <c r="D89" i="1"/>
  <c r="F89" i="1"/>
  <c r="C90" i="1"/>
  <c r="E90" i="1"/>
  <c r="B91" i="1"/>
  <c r="D91" i="1"/>
  <c r="F91" i="1"/>
  <c r="C92" i="1"/>
  <c r="E92" i="1"/>
  <c r="B93" i="1"/>
  <c r="D93" i="1"/>
  <c r="F93" i="1"/>
  <c r="C94" i="1"/>
  <c r="E94" i="1"/>
  <c r="B95" i="1"/>
  <c r="D95" i="1"/>
  <c r="F95" i="1"/>
  <c r="C96" i="1"/>
  <c r="E96" i="1"/>
  <c r="B97" i="1"/>
  <c r="D97" i="1"/>
  <c r="F97" i="1"/>
  <c r="C98" i="1"/>
  <c r="E98" i="1"/>
  <c r="B99" i="1"/>
  <c r="D99" i="1"/>
  <c r="F99" i="1"/>
  <c r="C100" i="1"/>
  <c r="E100" i="1"/>
  <c r="B101" i="1"/>
  <c r="D101" i="1"/>
  <c r="F101" i="1"/>
  <c r="C102" i="1"/>
  <c r="E102" i="1"/>
  <c r="B103" i="1"/>
  <c r="D103" i="1"/>
  <c r="F103" i="1"/>
  <c r="C104" i="1"/>
  <c r="E104" i="1"/>
  <c r="B105" i="1"/>
  <c r="D105" i="1"/>
  <c r="F105" i="1"/>
  <c r="D72" i="1"/>
  <c r="F72" i="1"/>
  <c r="C73" i="1"/>
  <c r="E73" i="1"/>
  <c r="B74" i="1"/>
  <c r="D74" i="1"/>
  <c r="F74" i="1"/>
  <c r="C75" i="1"/>
  <c r="E75" i="1"/>
  <c r="B76" i="1"/>
  <c r="D76" i="1"/>
  <c r="F76" i="1"/>
  <c r="C77" i="1"/>
  <c r="E77" i="1"/>
  <c r="B78" i="1"/>
  <c r="D78" i="1"/>
  <c r="F78" i="1"/>
  <c r="C79" i="1"/>
  <c r="E79" i="1"/>
  <c r="B80" i="1"/>
  <c r="D80" i="1"/>
  <c r="F80" i="1"/>
  <c r="C81" i="1"/>
  <c r="E81" i="1"/>
  <c r="B82" i="1"/>
  <c r="D82" i="1"/>
  <c r="F82" i="1"/>
  <c r="C83" i="1"/>
  <c r="E83" i="1"/>
  <c r="B84" i="1"/>
  <c r="D84" i="1"/>
  <c r="F84" i="1"/>
  <c r="C85" i="1"/>
  <c r="E85" i="1"/>
  <c r="B86" i="1"/>
  <c r="D86" i="1"/>
  <c r="F86" i="1"/>
  <c r="C87" i="1"/>
  <c r="E87" i="1"/>
  <c r="B88" i="1"/>
  <c r="D88" i="1"/>
  <c r="F88" i="1"/>
  <c r="C89" i="1"/>
  <c r="E89" i="1"/>
  <c r="B90" i="1"/>
  <c r="D90" i="1"/>
  <c r="F90" i="1"/>
  <c r="C91" i="1"/>
  <c r="E91" i="1"/>
  <c r="B92" i="1"/>
  <c r="D92" i="1"/>
  <c r="F92" i="1"/>
  <c r="C93" i="1"/>
  <c r="E93" i="1"/>
  <c r="B94" i="1"/>
  <c r="D94" i="1"/>
  <c r="F94" i="1"/>
  <c r="C95" i="1"/>
  <c r="E95" i="1"/>
  <c r="B96" i="1"/>
  <c r="D96" i="1"/>
  <c r="F96" i="1"/>
  <c r="C97" i="1"/>
  <c r="E97" i="1"/>
  <c r="B98" i="1"/>
  <c r="D98" i="1"/>
  <c r="F98" i="1"/>
  <c r="C99" i="1"/>
  <c r="E99" i="1"/>
  <c r="B100" i="1"/>
  <c r="D100" i="1"/>
  <c r="F100" i="1"/>
  <c r="C101" i="1"/>
  <c r="E101" i="1"/>
  <c r="B102" i="1"/>
  <c r="D102" i="1"/>
  <c r="F102" i="1"/>
  <c r="C103" i="1"/>
  <c r="E103" i="1"/>
  <c r="B104" i="1"/>
  <c r="D104" i="1"/>
  <c r="F104" i="1"/>
  <c r="C105" i="1"/>
  <c r="E105" i="1"/>
  <c r="F4" i="1"/>
  <c r="F5" i="1"/>
  <c r="D5" i="1"/>
  <c r="E5" i="1"/>
  <c r="B5" i="1"/>
  <c r="B3" i="6" s="1"/>
  <c r="C5" i="1"/>
  <c r="D4" i="1"/>
  <c r="E4" i="1"/>
  <c r="B4" i="1"/>
  <c r="C4" i="1"/>
  <c r="B1048575" i="6" s="1"/>
  <c r="B7" i="6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C7" i="6" l="1"/>
  <c r="D7" i="6" s="1"/>
  <c r="E7" i="6" s="1"/>
  <c r="F7" i="6" s="1"/>
  <c r="C5" i="6"/>
  <c r="D5" i="6" s="1"/>
  <c r="E5" i="6" s="1"/>
  <c r="F5" i="6" s="1"/>
  <c r="C4" i="6"/>
  <c r="C8" i="6"/>
  <c r="D8" i="6" s="1"/>
  <c r="E8" i="6" s="1"/>
  <c r="F8" i="6" s="1"/>
  <c r="D4" i="6"/>
  <c r="E4" i="6" s="1"/>
  <c r="F4" i="6" s="1"/>
  <c r="C3" i="6"/>
  <c r="D3" i="6" s="1"/>
  <c r="E3" i="6" s="1"/>
  <c r="F3" i="6" s="1"/>
  <c r="C9" i="6"/>
  <c r="D9" i="6" s="1"/>
  <c r="E9" i="6" s="1"/>
  <c r="F9" i="6" s="1"/>
  <c r="C6" i="6"/>
  <c r="D6" i="6" s="1"/>
  <c r="E6" i="6" s="1"/>
  <c r="F6" i="6" s="1"/>
  <c r="B2" i="6"/>
  <c r="C2" i="6" s="1"/>
  <c r="D2" i="6" s="1"/>
  <c r="E2" i="6" s="1"/>
  <c r="F2" i="6" s="1"/>
</calcChain>
</file>

<file path=xl/sharedStrings.xml><?xml version="1.0" encoding="utf-8"?>
<sst xmlns="http://schemas.openxmlformats.org/spreadsheetml/2006/main" count="349" uniqueCount="330">
  <si>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</si>
  <si>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</si>
  <si>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</si>
  <si>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</si>
  <si>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</si>
  <si>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</si>
  <si>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</si>
  <si>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</si>
  <si>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</si>
  <si>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</si>
  <si>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</si>
  <si>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</si>
  <si>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</si>
  <si>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</si>
  <si>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</si>
  <si>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</si>
  <si>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</si>
  <si>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</si>
  <si>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</si>
  <si>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</si>
  <si>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</si>
  <si>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</si>
  <si>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</si>
  <si>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</si>
  <si>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</si>
  <si>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</si>
  <si>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</si>
  <si>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</si>
  <si>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</si>
  <si>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</si>
  <si>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</si>
  <si>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</si>
  <si>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</si>
  <si>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</si>
  <si>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</si>
  <si>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</si>
  <si>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</si>
  <si>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</si>
  <si>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</si>
  <si>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</si>
  <si>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</si>
  <si>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</si>
  <si>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</si>
  <si>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</si>
  <si>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</si>
  <si>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</si>
  <si>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>Filas encontradas (CANCIONES)</t>
  </si>
  <si>
    <t>ID</t>
  </si>
  <si>
    <t>FILA</t>
  </si>
  <si>
    <t>Hola</t>
  </si>
  <si>
    <t>A</t>
  </si>
  <si>
    <t xml:space="preserve"> 2 COMPAS</t>
  </si>
  <si>
    <t>3 COMPAS</t>
  </si>
  <si>
    <t>4 COMPAS</t>
  </si>
  <si>
    <t>1 COMPÁS</t>
  </si>
  <si>
    <t>5 COMPÁS</t>
  </si>
  <si>
    <t>6 COMPÁS</t>
  </si>
  <si>
    <t>7 COMPÁS</t>
  </si>
  <si>
    <t>8 COMPÁS</t>
  </si>
  <si>
    <t>9 COMPÁS</t>
  </si>
  <si>
    <t>10 COMPÁS</t>
  </si>
  <si>
    <t>11 COMPÁS</t>
  </si>
  <si>
    <t>12 COMPÁS</t>
  </si>
  <si>
    <t>13 COMPÁS</t>
  </si>
  <si>
    <t>14 COMPÁS</t>
  </si>
  <si>
    <t>15 COMPÁS</t>
  </si>
  <si>
    <t>16 COMPÁS</t>
  </si>
  <si>
    <t>17 COMPÁS</t>
  </si>
  <si>
    <t>18 COMPÁS</t>
  </si>
  <si>
    <t>19 COMPÁS</t>
  </si>
  <si>
    <t>20 COMPÁS</t>
  </si>
  <si>
    <t>21 COMPÁS</t>
  </si>
  <si>
    <t>22 COMPÁS</t>
  </si>
  <si>
    <t>23 COMPÁS</t>
  </si>
  <si>
    <t>24 COMPÁS</t>
  </si>
  <si>
    <t>25 COMPÁS</t>
  </si>
  <si>
    <t>26 COMPÁS</t>
  </si>
  <si>
    <t>27 COMPÁS</t>
  </si>
  <si>
    <t>28 COMPÁS</t>
  </si>
  <si>
    <t>29 COMPÁS</t>
  </si>
  <si>
    <t>30 COMPÁS</t>
  </si>
  <si>
    <t>31 COMPÁS</t>
  </si>
  <si>
    <t>32 COMPÁS</t>
  </si>
  <si>
    <t>33 COMPÁS</t>
  </si>
  <si>
    <t>34 COMPÁS</t>
  </si>
  <si>
    <t>35 COMPÁS</t>
  </si>
  <si>
    <t>36 COMPÁS</t>
  </si>
  <si>
    <t>37 COMPÁS</t>
  </si>
  <si>
    <t>38 COMPÁS</t>
  </si>
  <si>
    <t>39 COMPÁS</t>
  </si>
  <si>
    <t>40 COMPÁS</t>
  </si>
  <si>
    <t>41 COMPÁS</t>
  </si>
  <si>
    <t>42 COMPÁS</t>
  </si>
  <si>
    <t>43 COMPÁS</t>
  </si>
  <si>
    <t>44 COMPÁS</t>
  </si>
  <si>
    <t>45 COMPÁS</t>
  </si>
  <si>
    <t>46 COMPÁS</t>
  </si>
  <si>
    <t>47 COMPÁS</t>
  </si>
  <si>
    <t>48 COMPÁS</t>
  </si>
  <si>
    <t>49 COMPÁS</t>
  </si>
  <si>
    <t>50 COMPÁS</t>
  </si>
  <si>
    <t>51 COMPÁS</t>
  </si>
  <si>
    <t>52 COMPÁS</t>
  </si>
  <si>
    <t>Estrofa</t>
  </si>
  <si>
    <t>5 condicionales</t>
  </si>
  <si>
    <t xml:space="preserve">5 condicionales </t>
  </si>
  <si>
    <t>no hay texto</t>
  </si>
  <si>
    <t xml:space="preserve">comilla </t>
  </si>
  <si>
    <t>EJEMPLO</t>
  </si>
  <si>
    <t>HOLA</t>
  </si>
  <si>
    <t/>
  </si>
  <si>
    <t>53 COMPÁS</t>
  </si>
  <si>
    <t>54 COMPÁS</t>
  </si>
  <si>
    <t>55 COMPÁS</t>
  </si>
  <si>
    <t>56 COMPÁS</t>
  </si>
  <si>
    <t>57 COMPÁS</t>
  </si>
  <si>
    <t>58 COMPÁS</t>
  </si>
  <si>
    <t>59 COMPÁS</t>
  </si>
  <si>
    <t>60 COMPÁS</t>
  </si>
  <si>
    <t>61 COMPÁS</t>
  </si>
  <si>
    <t>62 COMPÁS</t>
  </si>
  <si>
    <t>63 COMPÁS</t>
  </si>
  <si>
    <t>64 COMPÁS</t>
  </si>
  <si>
    <t>65 COMPÁS</t>
  </si>
  <si>
    <t>66 COMPÁS</t>
  </si>
  <si>
    <t>67 COMPÁS</t>
  </si>
  <si>
    <t>68 COMPÁS</t>
  </si>
  <si>
    <t>69 COMPÁS</t>
  </si>
  <si>
    <t>70 COMPÁS</t>
  </si>
  <si>
    <t>71 COMPÁS</t>
  </si>
  <si>
    <t>72 COMPÁS</t>
  </si>
  <si>
    <t>73 COMPÁS</t>
  </si>
  <si>
    <t>74 COMPÁS</t>
  </si>
  <si>
    <t>75 COMPÁS</t>
  </si>
  <si>
    <t>76 COMPÁS</t>
  </si>
  <si>
    <t>77 COMPÁS</t>
  </si>
  <si>
    <t>78 COMPÁS</t>
  </si>
  <si>
    <t>79 COMPÁS</t>
  </si>
  <si>
    <t>80 COMPÁS</t>
  </si>
  <si>
    <t>81 COMPÁS</t>
  </si>
  <si>
    <t>82 COMPÁS</t>
  </si>
  <si>
    <t>83 COMPÁS</t>
  </si>
  <si>
    <t>84 COMPÁS</t>
  </si>
  <si>
    <t>85 COMPÁS</t>
  </si>
  <si>
    <t>86 COMPÁS</t>
  </si>
  <si>
    <t>87 COMPÁS</t>
  </si>
  <si>
    <t>88 COMPÁS</t>
  </si>
  <si>
    <t>89 COMPÁS</t>
  </si>
  <si>
    <t>90 COMPÁS</t>
  </si>
  <si>
    <t>91 COMPÁS</t>
  </si>
  <si>
    <t>92 COMPÁS</t>
  </si>
  <si>
    <t>93 COMPÁS</t>
  </si>
  <si>
    <t>94 COMPÁS</t>
  </si>
  <si>
    <t>95 COMPÁS</t>
  </si>
  <si>
    <t>96 COMPÁS</t>
  </si>
  <si>
    <t>97 COMPÁS</t>
  </si>
  <si>
    <t>98 COMPÁS</t>
  </si>
  <si>
    <t>99 COMPÁS</t>
  </si>
  <si>
    <t>100 COMPÁS</t>
  </si>
  <si>
    <t>101 COMPÁS</t>
  </si>
  <si>
    <t>102 COMPÁS</t>
  </si>
  <si>
    <t>103 COMPÁS</t>
  </si>
  <si>
    <t>104 COMPÁS</t>
  </si>
  <si>
    <t>105 COMPÁS</t>
  </si>
  <si>
    <t>106 COMPÁS</t>
  </si>
  <si>
    <t>107 COMPÁS</t>
  </si>
  <si>
    <t>108 COMPÁS</t>
  </si>
  <si>
    <t>109 COMPÁS</t>
  </si>
  <si>
    <t>110 COMPÁS</t>
  </si>
  <si>
    <t>111 COMPÁS</t>
  </si>
  <si>
    <t>112 COMPÁS</t>
  </si>
  <si>
    <t>113 COMPÁS</t>
  </si>
  <si>
    <t>114 COMPÁS</t>
  </si>
  <si>
    <t>115 COMPÁS</t>
  </si>
  <si>
    <t>116 COMPÁS</t>
  </si>
  <si>
    <t>117 COMPÁS</t>
  </si>
  <si>
    <t>118 COMPÁS</t>
  </si>
  <si>
    <t>119 COMPÁS</t>
  </si>
  <si>
    <t>120 COMPÁS</t>
  </si>
  <si>
    <t>121 COMPÁS</t>
  </si>
  <si>
    <t>122 COMPÁS</t>
  </si>
  <si>
    <t>123 COMPÁS</t>
  </si>
  <si>
    <t>124 COMPÁS</t>
  </si>
  <si>
    <t>125 COMPÁS</t>
  </si>
  <si>
    <t>126 COMPÁS</t>
  </si>
  <si>
    <t>127 COMPÁS</t>
  </si>
  <si>
    <t>128 COMPÁS</t>
  </si>
  <si>
    <t>129 COMPÁS</t>
  </si>
  <si>
    <t>130 COMPÁS</t>
  </si>
  <si>
    <t>131 COMPÁS</t>
  </si>
  <si>
    <t>132 COMPÁS</t>
  </si>
  <si>
    <t>133 COMPÁS</t>
  </si>
  <si>
    <t>134 COMPÁS</t>
  </si>
  <si>
    <t>135 COMPÁS</t>
  </si>
  <si>
    <t>136 COMPÁS</t>
  </si>
  <si>
    <t>137 COMPÁS</t>
  </si>
  <si>
    <t>138 COMPÁS</t>
  </si>
  <si>
    <t>139 COMPÁS</t>
  </si>
  <si>
    <t>140 COMPÁS</t>
  </si>
  <si>
    <t>141 COMPÁS</t>
  </si>
  <si>
    <t>142 COMPÁS</t>
  </si>
  <si>
    <t>143 COMPÁS</t>
  </si>
  <si>
    <t>144 COMPÁS</t>
  </si>
  <si>
    <t>145 COMPÁS</t>
  </si>
  <si>
    <t>146 COMPÁS</t>
  </si>
  <si>
    <t>147 COMPÁS</t>
  </si>
  <si>
    <t>148 COMPÁS</t>
  </si>
  <si>
    <t>149 COMPÁS</t>
  </si>
  <si>
    <t>150 COMPÁS</t>
  </si>
  <si>
    <t>151 COMPÁS</t>
  </si>
  <si>
    <t>152 COMPÁS</t>
  </si>
  <si>
    <t>153 COMPÁS</t>
  </si>
  <si>
    <t>154 COMPÁS</t>
  </si>
  <si>
    <t>155 COMPÁS</t>
  </si>
  <si>
    <t>156 COMPÁS</t>
  </si>
  <si>
    <t>157 COMPÁS</t>
  </si>
  <si>
    <t>158 COMPÁS</t>
  </si>
  <si>
    <t>159 COMPÁS</t>
  </si>
  <si>
    <t>160 COMPÁS</t>
  </si>
  <si>
    <t>161 COMPÁS</t>
  </si>
  <si>
    <t>162 COMPÁS</t>
  </si>
  <si>
    <t>163 COMPÁS</t>
  </si>
  <si>
    <t>164 COMPÁS</t>
  </si>
  <si>
    <t>165 COMPÁS</t>
  </si>
  <si>
    <t>166 COMPÁS</t>
  </si>
  <si>
    <t>167 COMPÁS</t>
  </si>
  <si>
    <t>168 COMPÁS</t>
  </si>
  <si>
    <t>169 COMPÁS</t>
  </si>
  <si>
    <t>170 COMPÁS</t>
  </si>
  <si>
    <t>171 COMPÁS</t>
  </si>
  <si>
    <t>172 COMPÁS</t>
  </si>
  <si>
    <t>173 COMPÁS</t>
  </si>
  <si>
    <t>174 COMPÁS</t>
  </si>
  <si>
    <t>175 COMPÁS</t>
  </si>
  <si>
    <t>176 COMPÁS</t>
  </si>
  <si>
    <t>177 COMPÁS</t>
  </si>
  <si>
    <t>178 COMPÁS</t>
  </si>
  <si>
    <t>179 COMPÁS</t>
  </si>
  <si>
    <t>180 COMPÁS</t>
  </si>
  <si>
    <t>181 COMPÁS</t>
  </si>
  <si>
    <t>182 COMPÁS</t>
  </si>
  <si>
    <t>183 COMPÁS</t>
  </si>
  <si>
    <t>184 COMPÁS</t>
  </si>
  <si>
    <t>185 COMPÁS</t>
  </si>
  <si>
    <t>186 COMPÁS</t>
  </si>
  <si>
    <t>187 COMPÁS</t>
  </si>
  <si>
    <t>188 COMPÁS</t>
  </si>
  <si>
    <t>189 COMPÁS</t>
  </si>
  <si>
    <t>190 COMPÁS</t>
  </si>
  <si>
    <t>191 COMPÁS</t>
  </si>
  <si>
    <t>192 COMPÁS</t>
  </si>
  <si>
    <t>193 COMPÁS</t>
  </si>
  <si>
    <t>194 COMPÁS</t>
  </si>
  <si>
    <t>195 COMPÁS</t>
  </si>
  <si>
    <t>196 COMPÁS</t>
  </si>
  <si>
    <t>197 COMPÁS</t>
  </si>
  <si>
    <t>198 COMPÁS</t>
  </si>
  <si>
    <t>199 COMPÁS</t>
  </si>
  <si>
    <t>200 COMPÁS</t>
  </si>
  <si>
    <t>201 COMPÁS</t>
  </si>
  <si>
    <t>202 COMPÁS</t>
  </si>
  <si>
    <t>203 COMPÁS</t>
  </si>
  <si>
    <t>204 COMPÁS</t>
  </si>
  <si>
    <t>205 COMPÁS</t>
  </si>
  <si>
    <t>206 COMPÁS</t>
  </si>
  <si>
    <t>207 COMPÁS</t>
  </si>
  <si>
    <t>208 COMPÁS</t>
  </si>
  <si>
    <t>209 COMPÁS</t>
  </si>
  <si>
    <t>210 COMPÁS</t>
  </si>
  <si>
    <t>211 COMPÁS</t>
  </si>
  <si>
    <t>212 COMPÁS</t>
  </si>
  <si>
    <t>213 COMPÁS</t>
  </si>
  <si>
    <t>214 COMPÁS</t>
  </si>
  <si>
    <t>215 COMPÁS</t>
  </si>
  <si>
    <t>216 COMPÁS</t>
  </si>
  <si>
    <t>217 COMPÁS</t>
  </si>
  <si>
    <t>218 COMPÁS</t>
  </si>
  <si>
    <t>219 COMPÁS</t>
  </si>
  <si>
    <t>220 COMPÁS</t>
  </si>
  <si>
    <t>221 COMPÁS</t>
  </si>
  <si>
    <t>222 COMPÁS</t>
  </si>
  <si>
    <t>223 COMPÁS</t>
  </si>
  <si>
    <t>224 COMPÁS</t>
  </si>
  <si>
    <t>225 COMPÁS</t>
  </si>
  <si>
    <t>226 COMPÁS</t>
  </si>
  <si>
    <t>227 COMPÁS</t>
  </si>
  <si>
    <t>228 COMPÁS</t>
  </si>
  <si>
    <t>229 COMPÁS</t>
  </si>
  <si>
    <t>230 COMPÁS</t>
  </si>
  <si>
    <t>231 COMPÁS</t>
  </si>
  <si>
    <t>232 COMPÁS</t>
  </si>
  <si>
    <t>233 COMPÁS</t>
  </si>
  <si>
    <t>234 COMPÁS</t>
  </si>
  <si>
    <t>235 COMPÁS</t>
  </si>
  <si>
    <t>236 COMPÁS</t>
  </si>
  <si>
    <t>237 COMPÁS</t>
  </si>
  <si>
    <t>238 COMPÁS</t>
  </si>
  <si>
    <t>239 COMPÁS</t>
  </si>
  <si>
    <t>240 COMPÁS</t>
  </si>
  <si>
    <t>241 COMPÁS</t>
  </si>
  <si>
    <t>242 COMPÁS</t>
  </si>
  <si>
    <t>243 COMPÁS</t>
  </si>
  <si>
    <t>244 COMPÁS</t>
  </si>
  <si>
    <t>245 COMPÁS</t>
  </si>
  <si>
    <t>246 COMPÁS</t>
  </si>
  <si>
    <t>247 COMPÁS</t>
  </si>
  <si>
    <t>248 COMPÁS</t>
  </si>
  <si>
    <t>249 COMPÁS</t>
  </si>
  <si>
    <t>250 COMPÁS</t>
  </si>
  <si>
    <t>251 COMPÁS</t>
  </si>
  <si>
    <t>252 COMPÁS</t>
  </si>
  <si>
    <t>253 COMPÁS</t>
  </si>
  <si>
    <t>254 COMPÁS</t>
  </si>
  <si>
    <t>255 COMPÁS</t>
  </si>
  <si>
    <t>256 COMPÁS</t>
  </si>
  <si>
    <t>257 COMPÁS</t>
  </si>
  <si>
    <t>258 COMPÁS</t>
  </si>
  <si>
    <t>259 COMPÁS</t>
  </si>
  <si>
    <t>260 COMPÁS</t>
  </si>
  <si>
    <t>261 COMPÁS</t>
  </si>
  <si>
    <t>262 COMPÁS</t>
  </si>
  <si>
    <t>263 COMPÁS</t>
  </si>
  <si>
    <t>264 COMPÁS</t>
  </si>
  <si>
    <t>265 COMPÁS</t>
  </si>
  <si>
    <t>266 COMPÁS</t>
  </si>
  <si>
    <t>267 COMPÁS</t>
  </si>
  <si>
    <t>268 COMPÁS</t>
  </si>
  <si>
    <t>269 COMPÁS</t>
  </si>
  <si>
    <t>270 COMPÁS</t>
  </si>
  <si>
    <t>271 COMPÁS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</si>
</sst>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6F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5FFEF"/>
        <bgColor indexed="64"/>
      </patternFill>
    </fill>
    <fill>
      <patternFill patternType="solid">
        <fgColor rgb="FFC5FFE9"/>
        <bgColor indexed="64"/>
      </patternFill>
    </fill>
    <fill>
      <patternFill patternType="solid">
        <fgColor rgb="FFAFFFE1"/>
        <bgColor indexed="64"/>
      </patternFill>
    </fill>
    <fill>
      <patternFill patternType="solid">
        <fgColor rgb="FF9BFFD9"/>
        <bgColor indexed="64"/>
      </patternFill>
    </fill>
    <fill>
      <patternFill patternType="solid">
        <fgColor rgb="FF81FFCF"/>
        <bgColor indexed="64"/>
      </patternFill>
    </fill>
    <fill>
      <patternFill patternType="solid">
        <fgColor rgb="FFFFD6BD"/>
        <bgColor indexed="64"/>
      </patternFill>
    </fill>
    <fill>
      <patternFill patternType="solid">
        <fgColor rgb="FFFDFFBD"/>
        <bgColor indexed="64"/>
      </patternFill>
    </fill>
    <fill>
      <patternFill patternType="solid">
        <fgColor rgb="FFC6FFBD"/>
        <bgColor indexed="64"/>
      </patternFill>
    </fill>
    <fill>
      <patternFill patternType="solid">
        <fgColor rgb="FFCDFD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78D2"/>
        <bgColor indexed="64"/>
      </patternFill>
    </fill>
    <fill>
      <patternFill patternType="solid">
        <fgColor rgb="FFDEFFD9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0" borderId="0" xfId="0" applyAlignment="1">
      <alignment vertical="center"/>
    </xf>
    <xf numFmtId="0" fontId="0" fillId="0" borderId="4" xfId="0" applyFill="1" applyBorder="1"/>
    <xf numFmtId="0" fontId="4" fillId="20" borderId="8" xfId="0" quotePrefix="1" applyFont="1" applyFill="1" applyBorder="1" applyAlignment="1">
      <alignment horizontal="left" indent="1"/>
    </xf>
    <xf numFmtId="0" fontId="4" fillId="21" borderId="5" xfId="0" quotePrefix="1" applyFont="1" applyFill="1" applyBorder="1" applyAlignment="1">
      <alignment horizontal="left" indent="1"/>
    </xf>
    <xf numFmtId="0" fontId="4" fillId="22" borderId="5" xfId="0" quotePrefix="1" applyFont="1" applyFill="1" applyBorder="1" applyAlignment="1">
      <alignment horizontal="left" indent="1"/>
    </xf>
    <xf numFmtId="0" fontId="4" fillId="23" borderId="5" xfId="0" quotePrefix="1" applyFont="1" applyFill="1" applyBorder="1" applyAlignment="1">
      <alignment horizontal="left" indent="1"/>
    </xf>
    <xf numFmtId="0" fontId="5" fillId="15" borderId="9" xfId="0" quotePrefix="1" applyFont="1" applyFill="1" applyBorder="1" applyAlignment="1">
      <alignment horizontal="left" indent="1"/>
    </xf>
    <xf numFmtId="0" fontId="5" fillId="16" borderId="6" xfId="0" quotePrefix="1" applyFont="1" applyFill="1" applyBorder="1" applyAlignment="1">
      <alignment horizontal="left" indent="1"/>
    </xf>
    <xf numFmtId="0" fontId="5" fillId="17" borderId="6" xfId="0" quotePrefix="1" applyFont="1" applyFill="1" applyBorder="1" applyAlignment="1">
      <alignment horizontal="left" indent="1"/>
    </xf>
    <xf numFmtId="0" fontId="5" fillId="18" borderId="6" xfId="0" quotePrefix="1" applyFont="1" applyFill="1" applyBorder="1" applyAlignment="1">
      <alignment horizontal="left" indent="1"/>
    </xf>
    <xf numFmtId="0" fontId="3" fillId="14" borderId="5" xfId="0" quotePrefix="1" applyFont="1" applyFill="1" applyBorder="1" applyAlignment="1">
      <alignment horizontal="left" indent="1"/>
    </xf>
    <xf numFmtId="0" fontId="5" fillId="19" borderId="6" xfId="0" quotePrefix="1" applyFont="1" applyFill="1" applyBorder="1" applyAlignment="1">
      <alignment horizontal="left" indent="1"/>
    </xf>
    <xf numFmtId="0" fontId="0" fillId="0" borderId="3" xfId="0" applyBorder="1" applyAlignment="1">
      <alignment horizontal="center" vertical="center"/>
    </xf>
    <xf numFmtId="0" fontId="7" fillId="24" borderId="0" xfId="0" applyFont="1" applyFill="1" applyBorder="1" applyAlignment="1">
      <alignment horizontal="center" vertical="center" wrapText="1"/>
    </xf>
    <xf numFmtId="0" fontId="7" fillId="25" borderId="0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wrapText="1"/>
    </xf>
    <xf numFmtId="0" fontId="0" fillId="27" borderId="3" xfId="0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23" borderId="12" xfId="0" applyFill="1" applyBorder="1" applyAlignment="1">
      <alignment horizontal="center"/>
    </xf>
    <xf numFmtId="0" fontId="0" fillId="18" borderId="12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0" fillId="26" borderId="12" xfId="0" applyFill="1" applyBorder="1" applyAlignment="1">
      <alignment horizontal="center"/>
    </xf>
    <xf numFmtId="0" fontId="0" fillId="10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FDFFBD"/>
      <color rgb="FFC6FFBD"/>
      <color rgb="FFDEFFD9"/>
      <color rgb="FFD3FFCD"/>
      <color rgb="FF9BFFD9"/>
      <color rgb="FFCDFDFF"/>
      <color rgb="FFAFFFE1"/>
      <color rgb="FF0078D2"/>
      <color rgb="FF81FFCF"/>
      <color rgb="FF6AF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A1:F1035"/>
  <sheetViews>
    <sheetView tabSelected="1" workbookViewId="0">
      <selection activeCell="B2" sqref="B2"/>
    </sheetView>
  </sheetViews>
  <sheetFormatPr baseColWidth="10" defaultColWidth="9.140625" defaultRowHeight="18.75" customHeight="1" x14ac:dyDescent="0.25"/>
  <cols>
    <col min="1" max="1" width="24.42578125" style="15" customWidth="1"/>
    <col min="2" max="6" width="27.140625" customWidth="1"/>
    <col min="7" max="7" width="22.42578125" customWidth="1"/>
  </cols>
  <sheetData>
    <row r="1" spans="1:6" ht="15" x14ac:dyDescent="0.25"/>
    <row r="2" spans="1:6" ht="15" x14ac:dyDescent="0.25">
      <c r="B2" s="2" t="s">
        <v>20</v>
      </c>
      <c r="C2" t="s">
        <v>110</v>
      </c>
    </row>
    <row r="3" spans="1:6" ht="15" x14ac:dyDescent="0.25"/>
    <row r="4" spans="1:6" ht="18.75" customHeight="1" x14ac:dyDescent="0.3">
      <c r="A4" s="38" t="s">
        <v>54</v>
      </c>
      <c r="B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" spans="1:6" ht="18.75" customHeight="1" thickBot="1" x14ac:dyDescent="0.35">
      <c r="A5" s="39"/>
      <c r="B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6" spans="1:6" ht="18.75" customHeight="1" x14ac:dyDescent="0.3">
      <c r="A6" s="40" t="s">
        <v>51</v>
      </c>
      <c r="B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7" spans="1:6" ht="18.75" customHeight="1" thickBot="1" x14ac:dyDescent="0.35">
      <c r="A7" s="41"/>
      <c r="B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8" spans="1:6" ht="18.75" customHeight="1" x14ac:dyDescent="0.3">
      <c r="A8" s="42" t="s">
        <v>52</v>
      </c>
      <c r="B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9" spans="1:6" ht="18.75" customHeight="1" thickBot="1" x14ac:dyDescent="0.35">
      <c r="A9" s="43"/>
      <c r="B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0" spans="1:6" ht="18.75" customHeight="1" x14ac:dyDescent="0.3">
      <c r="A10" s="44" t="s">
        <v>53</v>
      </c>
      <c r="B1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1" spans="1:6" ht="18.75" customHeight="1" thickBot="1" x14ac:dyDescent="0.35">
      <c r="A11" s="45"/>
      <c r="B1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2" spans="1:6" ht="18.75" customHeight="1" x14ac:dyDescent="0.3">
      <c r="A12" s="38" t="s">
        <v>55</v>
      </c>
      <c r="B1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3" spans="1:6" ht="18.75" customHeight="1" thickBot="1" x14ac:dyDescent="0.35">
      <c r="A13" s="39"/>
      <c r="B1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4" spans="1:6" ht="18.75" customHeight="1" x14ac:dyDescent="0.3">
      <c r="A14" s="40" t="s">
        <v>56</v>
      </c>
      <c r="B1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5" spans="1:6" ht="18.75" customHeight="1" thickBot="1" x14ac:dyDescent="0.35">
      <c r="A15" s="41"/>
      <c r="B1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6" spans="1:6" ht="18.75" customHeight="1" x14ac:dyDescent="0.3">
      <c r="A16" s="42" t="s">
        <v>57</v>
      </c>
      <c r="B1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7" spans="1:6" ht="18.75" customHeight="1" thickBot="1" x14ac:dyDescent="0.35">
      <c r="A17" s="43"/>
      <c r="B1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8" spans="1:6" ht="18.75" customHeight="1" x14ac:dyDescent="0.3">
      <c r="A18" s="44" t="s">
        <v>58</v>
      </c>
      <c r="B1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9" spans="1:6" ht="18.75" customHeight="1" thickBot="1" x14ac:dyDescent="0.35">
      <c r="A19" s="45"/>
      <c r="B1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0" spans="1:6" ht="18.75" customHeight="1" x14ac:dyDescent="0.3">
      <c r="A20" s="38" t="s">
        <v>59</v>
      </c>
      <c r="B2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1" spans="1:6" ht="18.75" customHeight="1" thickBot="1" x14ac:dyDescent="0.35">
      <c r="A21" s="39"/>
      <c r="B2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2" spans="1:6" ht="18.75" customHeight="1" x14ac:dyDescent="0.3">
      <c r="A22" s="40" t="s">
        <v>60</v>
      </c>
      <c r="B2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3" spans="1:6" ht="18.75" customHeight="1" thickBot="1" x14ac:dyDescent="0.35">
      <c r="A23" s="41"/>
      <c r="B2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4" spans="1:6" ht="18.75" customHeight="1" x14ac:dyDescent="0.3">
      <c r="A24" s="42" t="s">
        <v>61</v>
      </c>
      <c r="B2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5" spans="1:6" ht="18.75" customHeight="1" thickBot="1" x14ac:dyDescent="0.35">
      <c r="A25" s="43"/>
      <c r="B2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6" spans="1:6" ht="18.75" customHeight="1" x14ac:dyDescent="0.3">
      <c r="A26" s="44" t="s">
        <v>62</v>
      </c>
      <c r="B2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7" spans="1:6" ht="18.75" customHeight="1" thickBot="1" x14ac:dyDescent="0.35">
      <c r="A27" s="45"/>
      <c r="B2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8" spans="1:6" ht="18.75" customHeight="1" x14ac:dyDescent="0.3">
      <c r="A28" s="38" t="s">
        <v>63</v>
      </c>
      <c r="B2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9" spans="1:6" ht="18.75" customHeight="1" thickBot="1" x14ac:dyDescent="0.35">
      <c r="A29" s="39"/>
      <c r="B2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0" spans="1:6" ht="18.75" customHeight="1" x14ac:dyDescent="0.3">
      <c r="A30" s="40" t="s">
        <v>64</v>
      </c>
      <c r="B3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1" spans="1:6" ht="18.75" customHeight="1" thickBot="1" x14ac:dyDescent="0.35">
      <c r="A31" s="41"/>
      <c r="B3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2" spans="1:6" ht="18.75" customHeight="1" x14ac:dyDescent="0.3">
      <c r="A32" s="42" t="s">
        <v>65</v>
      </c>
      <c r="B3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3" spans="1:6" ht="18.75" customHeight="1" thickBot="1" x14ac:dyDescent="0.35">
      <c r="A33" s="43"/>
      <c r="B3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4" spans="1:6" ht="18.75" customHeight="1" x14ac:dyDescent="0.3">
      <c r="A34" s="44" t="s">
        <v>66</v>
      </c>
      <c r="B3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5" spans="1:6" ht="18.75" customHeight="1" thickBot="1" x14ac:dyDescent="0.35">
      <c r="A35" s="45"/>
      <c r="B3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6" spans="1:6" s="15" customFormat="1" ht="18.75" customHeight="1" x14ac:dyDescent="0.3">
      <c r="A36" s="38" t="s">
        <v>67</v>
      </c>
      <c r="B3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7" spans="1:6" s="15" customFormat="1" ht="18.75" customHeight="1" thickBot="1" x14ac:dyDescent="0.35">
      <c r="A37" s="39"/>
      <c r="B3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8" spans="1:6" ht="18.75" customHeight="1" x14ac:dyDescent="0.3">
      <c r="A38" s="40" t="s">
        <v>68</v>
      </c>
      <c r="B3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9" spans="1:6" ht="18.75" customHeight="1" thickBot="1" x14ac:dyDescent="0.35">
      <c r="A39" s="41"/>
      <c r="B3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0" spans="1:6" ht="18.75" customHeight="1" x14ac:dyDescent="0.3">
      <c r="A40" s="42" t="s">
        <v>69</v>
      </c>
      <c r="B4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1" spans="1:6" ht="18.75" customHeight="1" thickBot="1" x14ac:dyDescent="0.35">
      <c r="A41" s="43"/>
      <c r="B4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2" spans="1:6" ht="18.75" customHeight="1" x14ac:dyDescent="0.3">
      <c r="A42" s="44" t="s">
        <v>70</v>
      </c>
      <c r="B4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3" spans="1:6" ht="18.75" customHeight="1" thickBot="1" x14ac:dyDescent="0.35">
      <c r="A43" s="45"/>
      <c r="B4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4" spans="1:6" ht="18.75" customHeight="1" x14ac:dyDescent="0.3">
      <c r="A44" s="38" t="s">
        <v>71</v>
      </c>
      <c r="B4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5" spans="1:6" ht="18.75" customHeight="1" thickBot="1" x14ac:dyDescent="0.35">
      <c r="A45" s="39"/>
      <c r="B4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6" spans="1:6" ht="18.75" customHeight="1" x14ac:dyDescent="0.3">
      <c r="A46" s="40" t="s">
        <v>72</v>
      </c>
      <c r="B4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7" spans="1:6" ht="18.75" customHeight="1" thickBot="1" x14ac:dyDescent="0.35">
      <c r="A47" s="41"/>
      <c r="B4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8" spans="1:6" ht="18.75" customHeight="1" x14ac:dyDescent="0.3">
      <c r="A48" s="42" t="s">
        <v>73</v>
      </c>
      <c r="B4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9" spans="1:6" ht="18.75" customHeight="1" thickBot="1" x14ac:dyDescent="0.35">
      <c r="A49" s="43"/>
      <c r="B4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0" spans="1:6" ht="18.75" customHeight="1" x14ac:dyDescent="0.3">
      <c r="A50" s="44" t="s">
        <v>74</v>
      </c>
      <c r="B5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1" spans="1:6" ht="18.75" customHeight="1" thickBot="1" x14ac:dyDescent="0.35">
      <c r="A51" s="45"/>
      <c r="B5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2" spans="1:6" ht="18.75" customHeight="1" x14ac:dyDescent="0.3">
      <c r="A52" s="38" t="s">
        <v>75</v>
      </c>
      <c r="B5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3" spans="1:6" ht="18.75" customHeight="1" thickBot="1" x14ac:dyDescent="0.35">
      <c r="A53" s="39"/>
      <c r="B5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4" spans="1:6" ht="18.75" customHeight="1" x14ac:dyDescent="0.3">
      <c r="A54" s="40" t="s">
        <v>76</v>
      </c>
      <c r="B5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5" spans="1:6" ht="18.75" customHeight="1" thickBot="1" x14ac:dyDescent="0.35">
      <c r="A55" s="41"/>
      <c r="B5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6" spans="1:6" ht="18.75" customHeight="1" x14ac:dyDescent="0.3">
      <c r="A56" s="42" t="s">
        <v>77</v>
      </c>
      <c r="B5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7" spans="1:6" ht="18.75" customHeight="1" thickBot="1" x14ac:dyDescent="0.35">
      <c r="A57" s="43"/>
      <c r="B5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8" spans="1:6" ht="18.75" customHeight="1" x14ac:dyDescent="0.3">
      <c r="A58" s="44" t="s">
        <v>78</v>
      </c>
      <c r="B5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9" spans="1:6" ht="18.75" customHeight="1" thickBot="1" x14ac:dyDescent="0.35">
      <c r="A59" s="45"/>
      <c r="B5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60" spans="1:6" ht="18.75" customHeight="1" x14ac:dyDescent="0.3">
      <c r="A60" s="38" t="s">
        <v>79</v>
      </c>
      <c r="B6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6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6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6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6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61" spans="1:6" ht="18.75" customHeight="1" thickBot="1" x14ac:dyDescent="0.35">
      <c r="A61" s="39"/>
      <c r="B6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6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6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6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6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62" spans="1:6" ht="18.75" customHeight="1" x14ac:dyDescent="0.3">
      <c r="A62" s="40" t="s">
        <v>80</v>
      </c>
      <c r="B6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6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6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6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6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63" spans="1:6" ht="18.75" customHeight="1" thickBot="1" x14ac:dyDescent="0.35">
      <c r="A63" s="41"/>
      <c r="B6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6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6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6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6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64" spans="1:6" ht="18.75" customHeight="1" x14ac:dyDescent="0.3">
      <c r="A64" s="42" t="s">
        <v>81</v>
      </c>
      <c r="B6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6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6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6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6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65" spans="1:6" ht="18.75" customHeight="1" thickBot="1" x14ac:dyDescent="0.35">
      <c r="A65" s="43"/>
      <c r="B6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6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6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6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6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66" spans="1:6" ht="18.75" customHeight="1" x14ac:dyDescent="0.3">
      <c r="A66" s="44" t="s">
        <v>82</v>
      </c>
      <c r="B6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6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6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6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6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67" spans="1:6" ht="18.75" customHeight="1" thickBot="1" x14ac:dyDescent="0.35">
      <c r="A67" s="45"/>
      <c r="B6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6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6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6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6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68" spans="1:6" ht="18.75" customHeight="1" x14ac:dyDescent="0.3">
      <c r="A68" s="38" t="s">
        <v>83</v>
      </c>
      <c r="B6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6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6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6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6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69" spans="1:6" ht="18.75" customHeight="1" thickBot="1" x14ac:dyDescent="0.35">
      <c r="A69" s="39"/>
      <c r="B6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6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6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6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6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70" spans="1:6" ht="18.75" customHeight="1" x14ac:dyDescent="0.3">
      <c r="A70" s="40" t="s">
        <v>84</v>
      </c>
      <c r="B7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7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7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7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7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71" spans="1:6" ht="18.75" customHeight="1" thickBot="1" x14ac:dyDescent="0.35">
      <c r="A71" s="41"/>
      <c r="B7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7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7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7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7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72" spans="1:6" ht="18.75" customHeight="1" x14ac:dyDescent="0.3">
      <c r="A72" s="42" t="s">
        <v>85</v>
      </c>
      <c r="B7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7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7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7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7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73" spans="1:6" ht="18.75" customHeight="1" thickBot="1" x14ac:dyDescent="0.35">
      <c r="A73" s="43"/>
      <c r="B7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7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7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7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7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74" spans="1:6" ht="18.75" customHeight="1" x14ac:dyDescent="0.3">
      <c r="A74" s="44" t="s">
        <v>86</v>
      </c>
      <c r="B7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7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7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7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7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75" spans="1:6" ht="18.75" customHeight="1" thickBot="1" x14ac:dyDescent="0.35">
      <c r="A75" s="45"/>
      <c r="B7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7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7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7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7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76" spans="1:6" ht="18.75" customHeight="1" x14ac:dyDescent="0.3">
      <c r="A76" s="38" t="s">
        <v>87</v>
      </c>
      <c r="B7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7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7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7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7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77" spans="1:6" ht="18.75" customHeight="1" thickBot="1" x14ac:dyDescent="0.35">
      <c r="A77" s="39"/>
      <c r="B7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7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7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7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7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78" spans="1:6" ht="18.75" customHeight="1" x14ac:dyDescent="0.3">
      <c r="A78" s="40" t="s">
        <v>88</v>
      </c>
      <c r="B7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7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7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7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7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79" spans="1:6" ht="18.75" customHeight="1" thickBot="1" x14ac:dyDescent="0.35">
      <c r="A79" s="41"/>
      <c r="B7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7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7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7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7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80" spans="1:6" ht="18.75" customHeight="1" x14ac:dyDescent="0.3">
      <c r="A80" s="42" t="s">
        <v>89</v>
      </c>
      <c r="B8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8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8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8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8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81" spans="1:6" ht="18.75" customHeight="1" thickBot="1" x14ac:dyDescent="0.35">
      <c r="A81" s="43"/>
      <c r="B8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8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8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8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8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82" spans="1:6" ht="18.75" customHeight="1" x14ac:dyDescent="0.3">
      <c r="A82" s="44" t="s">
        <v>90</v>
      </c>
      <c r="B8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8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8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8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8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83" spans="1:6" ht="18.75" customHeight="1" thickBot="1" x14ac:dyDescent="0.35">
      <c r="A83" s="45"/>
      <c r="B8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8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8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8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8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84" spans="1:6" ht="18.75" customHeight="1" x14ac:dyDescent="0.3">
      <c r="A84" s="38" t="s">
        <v>91</v>
      </c>
      <c r="B8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8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8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8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8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85" spans="1:6" ht="18.75" customHeight="1" thickBot="1" x14ac:dyDescent="0.35">
      <c r="A85" s="39"/>
      <c r="B8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8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8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8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8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86" spans="1:6" ht="18.75" customHeight="1" x14ac:dyDescent="0.3">
      <c r="A86" s="40" t="s">
        <v>92</v>
      </c>
      <c r="B8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8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8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8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8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87" spans="1:6" ht="18.75" customHeight="1" thickBot="1" x14ac:dyDescent="0.35">
      <c r="A87" s="41"/>
      <c r="B8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8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8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8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8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88" spans="1:6" ht="18.75" customHeight="1" x14ac:dyDescent="0.3">
      <c r="A88" s="42" t="s">
        <v>93</v>
      </c>
      <c r="B8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8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8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8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8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89" spans="1:6" ht="18.75" customHeight="1" thickBot="1" x14ac:dyDescent="0.35">
      <c r="A89" s="43"/>
      <c r="B8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8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8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8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8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90" spans="1:6" ht="18.75" customHeight="1" x14ac:dyDescent="0.3">
      <c r="A90" s="44" t="s">
        <v>94</v>
      </c>
      <c r="B9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9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9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9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9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91" spans="1:6" ht="18.75" customHeight="1" thickBot="1" x14ac:dyDescent="0.35">
      <c r="A91" s="45"/>
      <c r="B9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9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9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9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9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92" spans="1:6" ht="18.75" customHeight="1" x14ac:dyDescent="0.3">
      <c r="A92" s="38" t="s">
        <v>95</v>
      </c>
      <c r="B9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9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9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9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9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93" spans="1:6" ht="18.75" customHeight="1" thickBot="1" x14ac:dyDescent="0.35">
      <c r="A93" s="39"/>
      <c r="B9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9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9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9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9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94" spans="1:6" ht="18.75" customHeight="1" x14ac:dyDescent="0.3">
      <c r="A94" s="40" t="s">
        <v>96</v>
      </c>
      <c r="B9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9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9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9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9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95" spans="1:6" ht="18.75" customHeight="1" thickBot="1" x14ac:dyDescent="0.35">
      <c r="A95" s="41"/>
      <c r="B9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9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9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9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9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96" spans="1:6" ht="18.75" customHeight="1" x14ac:dyDescent="0.3">
      <c r="A96" s="42" t="s">
        <v>97</v>
      </c>
      <c r="B9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9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9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9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9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97" spans="1:6" ht="18.75" customHeight="1" thickBot="1" x14ac:dyDescent="0.35">
      <c r="A97" s="43"/>
      <c r="B9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9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9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9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9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98" spans="1:6" ht="18.75" customHeight="1" x14ac:dyDescent="0.3">
      <c r="A98" s="44" t="s">
        <v>98</v>
      </c>
      <c r="B9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9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9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9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9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99" spans="1:6" ht="18.75" customHeight="1" thickBot="1" x14ac:dyDescent="0.35">
      <c r="A99" s="45"/>
      <c r="B9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9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9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9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9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00" spans="1:6" ht="18.75" customHeight="1" x14ac:dyDescent="0.3">
      <c r="A100" s="38" t="s">
        <v>99</v>
      </c>
      <c r="B10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0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0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0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0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01" spans="1:6" ht="18.75" customHeight="1" thickBot="1" x14ac:dyDescent="0.35">
      <c r="A101" s="39"/>
      <c r="B10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0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0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0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0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02" spans="1:6" ht="18.75" customHeight="1" x14ac:dyDescent="0.3">
      <c r="A102" s="40" t="s">
        <v>100</v>
      </c>
      <c r="B10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0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0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0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0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03" spans="1:6" ht="18.75" customHeight="1" thickBot="1" x14ac:dyDescent="0.35">
      <c r="A103" s="41"/>
      <c r="B10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0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0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0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0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04" spans="1:6" ht="18.75" customHeight="1" x14ac:dyDescent="0.3">
      <c r="A104" s="42" t="s">
        <v>101</v>
      </c>
      <c r="B10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0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0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0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0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05" spans="1:6" ht="18.75" customHeight="1" thickBot="1" x14ac:dyDescent="0.35">
      <c r="A105" s="43"/>
      <c r="B10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0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0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0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0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06" spans="1:6" ht="18.75" customHeight="1" x14ac:dyDescent="0.3">
      <c r="A106" s="44" t="s">
        <v>102</v>
      </c>
      <c r="B10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0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0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0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0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07" spans="1:6" ht="18.75" customHeight="1" thickBot="1" x14ac:dyDescent="0.35">
      <c r="A107" s="45"/>
      <c r="B10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0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0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0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0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08" spans="1:6" ht="18.75" customHeight="1" x14ac:dyDescent="0.3">
      <c r="A108" s="38" t="s">
        <v>111</v>
      </c>
      <c r="B10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0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0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0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0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09" spans="1:6" ht="18.75" customHeight="1" thickBot="1" x14ac:dyDescent="0.35">
      <c r="A109" s="39"/>
      <c r="B10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0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0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0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0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10" spans="1:6" ht="18.75" customHeight="1" x14ac:dyDescent="0.3">
      <c r="A110" s="40" t="s">
        <v>112</v>
      </c>
      <c r="B11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1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1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1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1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11" spans="1:6" ht="18.75" customHeight="1" thickBot="1" x14ac:dyDescent="0.35">
      <c r="A111" s="41"/>
      <c r="B11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1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1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1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1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12" spans="1:6" ht="18.75" customHeight="1" x14ac:dyDescent="0.3">
      <c r="A112" s="42" t="s">
        <v>113</v>
      </c>
      <c r="B11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1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1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1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1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13" spans="1:6" ht="18.75" customHeight="1" thickBot="1" x14ac:dyDescent="0.35">
      <c r="A113" s="43"/>
      <c r="B11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1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1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1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1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14" spans="1:6" ht="18.75" customHeight="1" x14ac:dyDescent="0.3">
      <c r="A114" s="44" t="s">
        <v>114</v>
      </c>
      <c r="B11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1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1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1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1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15" spans="1:6" ht="18.75" customHeight="1" thickBot="1" x14ac:dyDescent="0.35">
      <c r="A115" s="45"/>
      <c r="B11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1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1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1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1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16" spans="1:6" ht="18.75" customHeight="1" x14ac:dyDescent="0.3">
      <c r="A116" s="38" t="s">
        <v>115</v>
      </c>
      <c r="B11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1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1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1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1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17" spans="1:6" ht="18.75" customHeight="1" thickBot="1" x14ac:dyDescent="0.35">
      <c r="A117" s="39"/>
      <c r="B11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1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1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1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1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18" spans="1:6" ht="18.75" customHeight="1" x14ac:dyDescent="0.3">
      <c r="A118" s="40" t="s">
        <v>116</v>
      </c>
      <c r="B11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1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1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1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1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19" spans="1:6" ht="18.75" customHeight="1" thickBot="1" x14ac:dyDescent="0.35">
      <c r="A119" s="41"/>
      <c r="B11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1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1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1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1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20" spans="1:6" ht="18.75" customHeight="1" x14ac:dyDescent="0.3">
      <c r="A120" s="42" t="s">
        <v>117</v>
      </c>
      <c r="B12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2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2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2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2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21" spans="1:6" ht="18.75" customHeight="1" thickBot="1" x14ac:dyDescent="0.35">
      <c r="A121" s="43"/>
      <c r="B12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2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2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2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2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22" spans="1:6" ht="18.75" customHeight="1" x14ac:dyDescent="0.3">
      <c r="A122" s="44" t="s">
        <v>118</v>
      </c>
      <c r="B12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2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2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2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2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23" spans="1:6" ht="18.75" customHeight="1" thickBot="1" x14ac:dyDescent="0.35">
      <c r="A123" s="45"/>
      <c r="B12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2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2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2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2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24" spans="1:6" ht="18.75" customHeight="1" x14ac:dyDescent="0.3">
      <c r="A124" s="38" t="s">
        <v>119</v>
      </c>
      <c r="B12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2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2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2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2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25" spans="1:6" ht="18.75" customHeight="1" thickBot="1" x14ac:dyDescent="0.35">
      <c r="A125" s="39"/>
      <c r="B12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2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2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2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2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26" spans="1:6" ht="18.75" customHeight="1" x14ac:dyDescent="0.3">
      <c r="A126" s="40" t="s">
        <v>120</v>
      </c>
      <c r="B12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2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2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2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2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27" spans="1:6" ht="18.75" customHeight="1" thickBot="1" x14ac:dyDescent="0.35">
      <c r="A127" s="41"/>
      <c r="B12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2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2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2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2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28" spans="1:6" ht="18.75" customHeight="1" x14ac:dyDescent="0.3">
      <c r="A128" s="42" t="s">
        <v>121</v>
      </c>
      <c r="B12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2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2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2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2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29" spans="1:6" ht="18.75" customHeight="1" thickBot="1" x14ac:dyDescent="0.35">
      <c r="A129" s="43"/>
      <c r="B12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2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2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2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2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30" spans="1:6" ht="18.75" customHeight="1" x14ac:dyDescent="0.3">
      <c r="A130" s="44" t="s">
        <v>122</v>
      </c>
      <c r="B13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3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3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3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3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31" spans="1:6" ht="18.75" customHeight="1" thickBot="1" x14ac:dyDescent="0.35">
      <c r="A131" s="45"/>
      <c r="B13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3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3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3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3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32" spans="1:6" ht="18.75" customHeight="1" x14ac:dyDescent="0.3">
      <c r="A132" s="38" t="s">
        <v>123</v>
      </c>
      <c r="B13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3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3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3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3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33" spans="1:6" ht="18.75" customHeight="1" thickBot="1" x14ac:dyDescent="0.35">
      <c r="A133" s="39"/>
      <c r="B13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3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3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3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3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34" spans="1:6" ht="18.75" customHeight="1" x14ac:dyDescent="0.3">
      <c r="A134" s="40" t="s">
        <v>124</v>
      </c>
      <c r="B13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3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3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3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3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35" spans="1:6" ht="18.75" customHeight="1" thickBot="1" x14ac:dyDescent="0.35">
      <c r="A135" s="41"/>
      <c r="B13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3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3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3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3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36" spans="1:6" ht="18.75" customHeight="1" x14ac:dyDescent="0.3">
      <c r="A136" s="42" t="s">
        <v>125</v>
      </c>
      <c r="B13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3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3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3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3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37" spans="1:6" ht="18.75" customHeight="1" thickBot="1" x14ac:dyDescent="0.35">
      <c r="A137" s="43"/>
      <c r="B13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3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3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3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3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38" spans="1:6" ht="18.75" customHeight="1" x14ac:dyDescent="0.3">
      <c r="A138" s="44" t="s">
        <v>126</v>
      </c>
      <c r="B13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3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3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3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3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39" spans="1:6" ht="18.75" customHeight="1" thickBot="1" x14ac:dyDescent="0.35">
      <c r="A139" s="45"/>
      <c r="B13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3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3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3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3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40" spans="1:6" ht="18.75" customHeight="1" x14ac:dyDescent="0.3">
      <c r="A140" s="38" t="s">
        <v>127</v>
      </c>
      <c r="B14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4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4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4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4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41" spans="1:6" ht="18.75" customHeight="1" thickBot="1" x14ac:dyDescent="0.35">
      <c r="A141" s="39"/>
      <c r="B14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4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4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4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4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42" spans="1:6" ht="18.75" customHeight="1" x14ac:dyDescent="0.3">
      <c r="A142" s="40" t="s">
        <v>128</v>
      </c>
      <c r="B14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4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4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4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4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43" spans="1:6" ht="18.75" customHeight="1" thickBot="1" x14ac:dyDescent="0.35">
      <c r="A143" s="41"/>
      <c r="B14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4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4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4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4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44" spans="1:6" ht="18.75" customHeight="1" x14ac:dyDescent="0.3">
      <c r="A144" s="42" t="s">
        <v>129</v>
      </c>
      <c r="B14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4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4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4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4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45" spans="1:6" ht="18.75" customHeight="1" thickBot="1" x14ac:dyDescent="0.35">
      <c r="A145" s="43"/>
      <c r="B14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4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4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4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4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46" spans="1:6" ht="18.75" customHeight="1" x14ac:dyDescent="0.3">
      <c r="A146" s="44" t="s">
        <v>130</v>
      </c>
      <c r="B14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4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4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4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4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47" spans="1:6" ht="18.75" customHeight="1" thickBot="1" x14ac:dyDescent="0.35">
      <c r="A147" s="45"/>
      <c r="B14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4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4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4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4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48" spans="1:6" ht="18.75" customHeight="1" x14ac:dyDescent="0.3">
      <c r="A148" s="38" t="s">
        <v>131</v>
      </c>
      <c r="B14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4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4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4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4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49" spans="1:6" ht="18.75" customHeight="1" thickBot="1" x14ac:dyDescent="0.35">
      <c r="A149" s="39"/>
      <c r="B14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4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4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4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4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50" spans="1:6" ht="18.75" customHeight="1" x14ac:dyDescent="0.3">
      <c r="A150" s="40" t="s">
        <v>132</v>
      </c>
      <c r="B15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5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5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5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5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51" spans="1:6" ht="18.75" customHeight="1" thickBot="1" x14ac:dyDescent="0.35">
      <c r="A151" s="41"/>
      <c r="B15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5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5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5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5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52" spans="1:6" ht="18.75" customHeight="1" x14ac:dyDescent="0.3">
      <c r="A152" s="42" t="s">
        <v>133</v>
      </c>
      <c r="B15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5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5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5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5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53" spans="1:6" ht="18.75" customHeight="1" thickBot="1" x14ac:dyDescent="0.35">
      <c r="A153" s="43"/>
      <c r="B15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5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5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5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5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54" spans="1:6" ht="18.75" customHeight="1" x14ac:dyDescent="0.3">
      <c r="A154" s="44" t="s">
        <v>134</v>
      </c>
      <c r="B15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5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5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5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5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55" spans="1:6" ht="18.75" customHeight="1" thickBot="1" x14ac:dyDescent="0.35">
      <c r="A155" s="45"/>
      <c r="B15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5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5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5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5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56" spans="1:6" ht="18.75" customHeight="1" x14ac:dyDescent="0.3">
      <c r="A156" s="38" t="s">
        <v>135</v>
      </c>
      <c r="B15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5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5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5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5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57" spans="1:6" ht="18.75" customHeight="1" thickBot="1" x14ac:dyDescent="0.35">
      <c r="A157" s="39"/>
      <c r="B15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5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5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5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5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58" spans="1:6" ht="18.75" customHeight="1" x14ac:dyDescent="0.3">
      <c r="A158" s="40" t="s">
        <v>136</v>
      </c>
      <c r="B15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5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5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5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5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59" spans="1:6" ht="18.75" customHeight="1" thickBot="1" x14ac:dyDescent="0.35">
      <c r="A159" s="41"/>
      <c r="B15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5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5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5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5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60" spans="1:6" ht="18.75" customHeight="1" x14ac:dyDescent="0.3">
      <c r="A160" s="42" t="s">
        <v>137</v>
      </c>
      <c r="B16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6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6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6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6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61" spans="1:6" ht="18.75" customHeight="1" thickBot="1" x14ac:dyDescent="0.35">
      <c r="A161" s="43"/>
      <c r="B16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6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6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6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6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62" spans="1:6" ht="18.75" customHeight="1" x14ac:dyDescent="0.3">
      <c r="A162" s="44" t="s">
        <v>138</v>
      </c>
      <c r="B16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6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6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6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6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63" spans="1:6" ht="18.75" customHeight="1" thickBot="1" x14ac:dyDescent="0.35">
      <c r="A163" s="45"/>
      <c r="B16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6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6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6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6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64" spans="1:6" ht="18.75" customHeight="1" x14ac:dyDescent="0.3">
      <c r="A164" s="38" t="s">
        <v>139</v>
      </c>
      <c r="B16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6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6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6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6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65" spans="1:6" ht="18.75" customHeight="1" thickBot="1" x14ac:dyDescent="0.35">
      <c r="A165" s="39"/>
      <c r="B16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6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6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6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6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66" spans="1:6" ht="18.75" customHeight="1" x14ac:dyDescent="0.3">
      <c r="A166" s="40" t="s">
        <v>140</v>
      </c>
      <c r="B16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6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6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6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6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67" spans="1:6" ht="18.75" customHeight="1" thickBot="1" x14ac:dyDescent="0.35">
      <c r="A167" s="41"/>
      <c r="B16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6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6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6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6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68" spans="1:6" ht="18.75" customHeight="1" x14ac:dyDescent="0.3">
      <c r="A168" s="42" t="s">
        <v>141</v>
      </c>
      <c r="B16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6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6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6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6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69" spans="1:6" ht="18.75" customHeight="1" thickBot="1" x14ac:dyDescent="0.35">
      <c r="A169" s="43"/>
      <c r="B16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6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6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6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6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70" spans="1:6" ht="18.75" customHeight="1" x14ac:dyDescent="0.3">
      <c r="A170" s="44" t="s">
        <v>142</v>
      </c>
      <c r="B17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7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7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7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7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71" spans="1:6" ht="18.75" customHeight="1" thickBot="1" x14ac:dyDescent="0.35">
      <c r="A171" s="45"/>
      <c r="B17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7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7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7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7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72" spans="1:6" ht="18.75" customHeight="1" x14ac:dyDescent="0.3">
      <c r="A172" s="38" t="s">
        <v>143</v>
      </c>
      <c r="B17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7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7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7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7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73" spans="1:6" ht="18.75" customHeight="1" thickBot="1" x14ac:dyDescent="0.35">
      <c r="A173" s="39"/>
      <c r="B17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7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7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7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7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74" spans="1:6" ht="18.75" customHeight="1" x14ac:dyDescent="0.3">
      <c r="A174" s="40" t="s">
        <v>144</v>
      </c>
      <c r="B17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7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7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7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7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75" spans="1:6" ht="18.75" customHeight="1" thickBot="1" x14ac:dyDescent="0.35">
      <c r="A175" s="41"/>
      <c r="B17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7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7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7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7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76" spans="1:6" ht="18.75" customHeight="1" x14ac:dyDescent="0.3">
      <c r="A176" s="42" t="s">
        <v>145</v>
      </c>
      <c r="B17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7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7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7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7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77" spans="1:6" ht="18.75" customHeight="1" thickBot="1" x14ac:dyDescent="0.35">
      <c r="A177" s="43"/>
      <c r="B17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7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7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7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7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78" spans="1:6" ht="18.75" customHeight="1" x14ac:dyDescent="0.3">
      <c r="A178" s="44" t="s">
        <v>146</v>
      </c>
      <c r="B17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7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7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7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7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79" spans="1:6" ht="18.75" customHeight="1" thickBot="1" x14ac:dyDescent="0.35">
      <c r="A179" s="45"/>
      <c r="B17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7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7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7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7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80" spans="1:6" ht="18.75" customHeight="1" x14ac:dyDescent="0.3">
      <c r="A180" s="38" t="s">
        <v>147</v>
      </c>
      <c r="B18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8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8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8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8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81" spans="1:6" ht="18.75" customHeight="1" thickBot="1" x14ac:dyDescent="0.35">
      <c r="A181" s="39"/>
      <c r="B18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8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8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8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8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82" spans="1:6" ht="18.75" customHeight="1" x14ac:dyDescent="0.3">
      <c r="A182" s="40" t="s">
        <v>148</v>
      </c>
      <c r="B18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8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8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8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8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83" spans="1:6" ht="18.75" customHeight="1" thickBot="1" x14ac:dyDescent="0.35">
      <c r="A183" s="41"/>
      <c r="B18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8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8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8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8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84" spans="1:6" ht="18.75" customHeight="1" x14ac:dyDescent="0.3">
      <c r="A184" s="42" t="s">
        <v>149</v>
      </c>
      <c r="B18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8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8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8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8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85" spans="1:6" ht="18.75" customHeight="1" thickBot="1" x14ac:dyDescent="0.35">
      <c r="A185" s="43"/>
      <c r="B18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8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8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8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8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86" spans="1:6" ht="18.75" customHeight="1" x14ac:dyDescent="0.3">
      <c r="A186" s="44" t="s">
        <v>150</v>
      </c>
      <c r="B18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8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8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8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8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87" spans="1:6" ht="18.75" customHeight="1" thickBot="1" x14ac:dyDescent="0.35">
      <c r="A187" s="45"/>
      <c r="B18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8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8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8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8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88" spans="1:6" ht="18.75" customHeight="1" x14ac:dyDescent="0.3">
      <c r="A188" s="38" t="s">
        <v>151</v>
      </c>
      <c r="B18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8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8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8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8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89" spans="1:6" ht="18.75" customHeight="1" thickBot="1" x14ac:dyDescent="0.35">
      <c r="A189" s="39"/>
      <c r="B18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8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8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8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8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90" spans="1:6" ht="18.75" customHeight="1" x14ac:dyDescent="0.3">
      <c r="A190" s="40" t="s">
        <v>152</v>
      </c>
      <c r="B19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9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9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9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9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91" spans="1:6" ht="18.75" customHeight="1" thickBot="1" x14ac:dyDescent="0.35">
      <c r="A191" s="41"/>
      <c r="B19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9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9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9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9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92" spans="1:6" ht="18.75" customHeight="1" x14ac:dyDescent="0.3">
      <c r="A192" s="42" t="s">
        <v>153</v>
      </c>
      <c r="B19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9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9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9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9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93" spans="1:6" ht="18.75" customHeight="1" thickBot="1" x14ac:dyDescent="0.35">
      <c r="A193" s="43"/>
      <c r="B19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9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9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9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9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94" spans="1:6" ht="18.75" customHeight="1" x14ac:dyDescent="0.3">
      <c r="A194" s="44" t="s">
        <v>154</v>
      </c>
      <c r="B19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9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9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9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9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95" spans="1:6" ht="18.75" customHeight="1" thickBot="1" x14ac:dyDescent="0.35">
      <c r="A195" s="45"/>
      <c r="B19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9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9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9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9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96" spans="1:6" ht="18.75" customHeight="1" x14ac:dyDescent="0.3">
      <c r="A196" s="38" t="s">
        <v>155</v>
      </c>
      <c r="B19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9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9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9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9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97" spans="1:6" ht="18.75" customHeight="1" thickBot="1" x14ac:dyDescent="0.35">
      <c r="A197" s="39"/>
      <c r="B19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9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9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9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9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198" spans="1:6" ht="18.75" customHeight="1" x14ac:dyDescent="0.3">
      <c r="A198" s="40" t="s">
        <v>156</v>
      </c>
      <c r="B19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19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19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19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19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199" spans="1:6" ht="18.75" customHeight="1" thickBot="1" x14ac:dyDescent="0.35">
      <c r="A199" s="41"/>
      <c r="B19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19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19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19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19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00" spans="1:6" ht="18.75" customHeight="1" x14ac:dyDescent="0.3">
      <c r="A200" s="42" t="s">
        <v>157</v>
      </c>
      <c r="B20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0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0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0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0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01" spans="1:6" ht="18.75" customHeight="1" thickBot="1" x14ac:dyDescent="0.35">
      <c r="A201" s="43"/>
      <c r="B20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0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0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0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0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02" spans="1:6" ht="18.75" customHeight="1" x14ac:dyDescent="0.3">
      <c r="A202" s="44" t="s">
        <v>158</v>
      </c>
      <c r="B20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0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0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0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0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03" spans="1:6" ht="18.75" customHeight="1" thickBot="1" x14ac:dyDescent="0.35">
      <c r="A203" s="45"/>
      <c r="B20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0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0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0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0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04" spans="1:6" ht="18.75" customHeight="1" x14ac:dyDescent="0.3">
      <c r="A204" s="38" t="s">
        <v>159</v>
      </c>
      <c r="B20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0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0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0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0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05" spans="1:6" ht="18.75" customHeight="1" thickBot="1" x14ac:dyDescent="0.35">
      <c r="A205" s="39"/>
      <c r="B20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0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0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0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0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06" spans="1:6" ht="18.75" customHeight="1" x14ac:dyDescent="0.3">
      <c r="A206" s="40" t="s">
        <v>160</v>
      </c>
      <c r="B20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0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0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0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0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07" spans="1:6" ht="18.75" customHeight="1" thickBot="1" x14ac:dyDescent="0.35">
      <c r="A207" s="41"/>
      <c r="B20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0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0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0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0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08" spans="1:6" ht="18.75" customHeight="1" x14ac:dyDescent="0.3">
      <c r="A208" s="42" t="s">
        <v>161</v>
      </c>
      <c r="B20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0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0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0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0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09" spans="1:6" ht="18.75" customHeight="1" thickBot="1" x14ac:dyDescent="0.35">
      <c r="A209" s="43"/>
      <c r="B20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0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0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0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0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10" spans="1:6" ht="18.75" customHeight="1" x14ac:dyDescent="0.3">
      <c r="A210" s="44" t="s">
        <v>162</v>
      </c>
      <c r="B21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1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1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1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1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11" spans="1:6" ht="18.75" customHeight="1" thickBot="1" x14ac:dyDescent="0.35">
      <c r="A211" s="45"/>
      <c r="B21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1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1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1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1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12" spans="1:6" ht="18.75" customHeight="1" x14ac:dyDescent="0.3">
      <c r="A212" s="38" t="s">
        <v>163</v>
      </c>
      <c r="B21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1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1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1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1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13" spans="1:6" ht="18.75" customHeight="1" thickBot="1" x14ac:dyDescent="0.35">
      <c r="A213" s="39"/>
      <c r="B21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1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1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1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1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14" spans="1:6" ht="18.75" customHeight="1" x14ac:dyDescent="0.3">
      <c r="A214" s="40" t="s">
        <v>164</v>
      </c>
      <c r="B21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1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1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1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1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15" spans="1:6" ht="18.75" customHeight="1" thickBot="1" x14ac:dyDescent="0.35">
      <c r="A215" s="41"/>
      <c r="B21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1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1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1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1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16" spans="1:6" ht="18.75" customHeight="1" x14ac:dyDescent="0.3">
      <c r="A216" s="42" t="s">
        <v>165</v>
      </c>
      <c r="B21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1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1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1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1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17" spans="1:6" ht="18.75" customHeight="1" thickBot="1" x14ac:dyDescent="0.35">
      <c r="A217" s="43"/>
      <c r="B21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1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1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1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1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18" spans="1:6" ht="18.75" customHeight="1" x14ac:dyDescent="0.3">
      <c r="A218" s="44" t="s">
        <v>166</v>
      </c>
      <c r="B21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1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1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1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1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19" spans="1:6" ht="18.75" customHeight="1" thickBot="1" x14ac:dyDescent="0.35">
      <c r="A219" s="45"/>
      <c r="B21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1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1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1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1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20" spans="1:6" ht="18.75" customHeight="1" x14ac:dyDescent="0.3">
      <c r="A220" s="38" t="s">
        <v>167</v>
      </c>
      <c r="B22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2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2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2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2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21" spans="1:6" ht="18.75" customHeight="1" thickBot="1" x14ac:dyDescent="0.35">
      <c r="A221" s="39"/>
      <c r="B22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2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2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2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2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22" spans="1:6" ht="18.75" customHeight="1" x14ac:dyDescent="0.3">
      <c r="A222" s="40" t="s">
        <v>168</v>
      </c>
      <c r="B22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2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2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2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2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23" spans="1:6" ht="18.75" customHeight="1" thickBot="1" x14ac:dyDescent="0.35">
      <c r="A223" s="41"/>
      <c r="B22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2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2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2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2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24" spans="1:6" ht="18.75" customHeight="1" x14ac:dyDescent="0.3">
      <c r="A224" s="42" t="s">
        <v>169</v>
      </c>
      <c r="B22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2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2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2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2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25" spans="1:6" ht="18.75" customHeight="1" thickBot="1" x14ac:dyDescent="0.35">
      <c r="A225" s="43"/>
      <c r="B22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2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2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2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2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26" spans="1:6" ht="18.75" customHeight="1" x14ac:dyDescent="0.3">
      <c r="A226" s="44" t="s">
        <v>170</v>
      </c>
      <c r="B22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2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2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2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2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27" spans="1:6" ht="18.75" customHeight="1" thickBot="1" x14ac:dyDescent="0.35">
      <c r="A227" s="45"/>
      <c r="B22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2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2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2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2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28" spans="1:6" ht="18.75" customHeight="1" x14ac:dyDescent="0.3">
      <c r="A228" s="38" t="s">
        <v>171</v>
      </c>
      <c r="B22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2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2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2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2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29" spans="1:6" ht="18.75" customHeight="1" thickBot="1" x14ac:dyDescent="0.35">
      <c r="A229" s="39"/>
      <c r="B22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2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2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2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2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30" spans="1:6" ht="18.75" customHeight="1" x14ac:dyDescent="0.3">
      <c r="A230" s="40" t="s">
        <v>172</v>
      </c>
      <c r="B23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3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3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3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3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31" spans="1:6" ht="18.75" customHeight="1" thickBot="1" x14ac:dyDescent="0.35">
      <c r="A231" s="41"/>
      <c r="B23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3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3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3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3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32" spans="1:6" ht="18.75" customHeight="1" x14ac:dyDescent="0.3">
      <c r="A232" s="42" t="s">
        <v>173</v>
      </c>
      <c r="B23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3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3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3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3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33" spans="1:6" ht="18.75" customHeight="1" thickBot="1" x14ac:dyDescent="0.35">
      <c r="A233" s="43"/>
      <c r="B23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3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3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3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3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34" spans="1:6" ht="18.75" customHeight="1" x14ac:dyDescent="0.3">
      <c r="A234" s="44" t="s">
        <v>174</v>
      </c>
      <c r="B23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3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3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3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3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35" spans="1:6" ht="18.75" customHeight="1" thickBot="1" x14ac:dyDescent="0.35">
      <c r="A235" s="45"/>
      <c r="B23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3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3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3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3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36" spans="1:6" ht="18.75" customHeight="1" x14ac:dyDescent="0.3">
      <c r="A236" s="38" t="s">
        <v>175</v>
      </c>
      <c r="B23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3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3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3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3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37" spans="1:6" ht="18.75" customHeight="1" thickBot="1" x14ac:dyDescent="0.35">
      <c r="A237" s="39"/>
      <c r="B23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3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3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3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3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38" spans="1:6" ht="18.75" customHeight="1" x14ac:dyDescent="0.3">
      <c r="A238" s="40" t="s">
        <v>176</v>
      </c>
      <c r="B23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3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3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3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3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39" spans="1:6" ht="18.75" customHeight="1" thickBot="1" x14ac:dyDescent="0.35">
      <c r="A239" s="41"/>
      <c r="B23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3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3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3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3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40" spans="1:6" ht="18.75" customHeight="1" x14ac:dyDescent="0.3">
      <c r="A240" s="42" t="s">
        <v>177</v>
      </c>
      <c r="B24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4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4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4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4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41" spans="1:6" ht="18.75" customHeight="1" thickBot="1" x14ac:dyDescent="0.35">
      <c r="A241" s="43"/>
      <c r="B24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4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4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4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4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42" spans="1:6" ht="18.75" customHeight="1" x14ac:dyDescent="0.3">
      <c r="A242" s="44" t="s">
        <v>178</v>
      </c>
      <c r="B24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4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4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4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4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43" spans="1:6" ht="18.75" customHeight="1" thickBot="1" x14ac:dyDescent="0.35">
      <c r="A243" s="45"/>
      <c r="B24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4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4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4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4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44" spans="1:6" ht="18.75" customHeight="1" x14ac:dyDescent="0.3">
      <c r="A244" s="38" t="s">
        <v>179</v>
      </c>
      <c r="B24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4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4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4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4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45" spans="1:6" ht="18.75" customHeight="1" thickBot="1" x14ac:dyDescent="0.35">
      <c r="A245" s="39"/>
      <c r="B24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4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4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4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4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46" spans="1:6" ht="18.75" customHeight="1" x14ac:dyDescent="0.3">
      <c r="A246" s="40" t="s">
        <v>180</v>
      </c>
      <c r="B24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4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4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4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4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47" spans="1:6" ht="18.75" customHeight="1" thickBot="1" x14ac:dyDescent="0.35">
      <c r="A247" s="41"/>
      <c r="B24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4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4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4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4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48" spans="1:6" ht="18.75" customHeight="1" x14ac:dyDescent="0.3">
      <c r="A248" s="42" t="s">
        <v>181</v>
      </c>
      <c r="B24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4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4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4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4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49" spans="1:6" ht="18.75" customHeight="1" thickBot="1" x14ac:dyDescent="0.35">
      <c r="A249" s="43"/>
      <c r="B24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4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4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4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4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50" spans="1:6" ht="18.75" customHeight="1" x14ac:dyDescent="0.3">
      <c r="A250" s="44" t="s">
        <v>182</v>
      </c>
      <c r="B25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5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5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5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5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51" spans="1:6" ht="18.75" customHeight="1" thickBot="1" x14ac:dyDescent="0.35">
      <c r="A251" s="45"/>
      <c r="B25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5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5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5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5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52" spans="1:6" ht="18.75" customHeight="1" x14ac:dyDescent="0.3">
      <c r="A252" s="38" t="s">
        <v>183</v>
      </c>
      <c r="B25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5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5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5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5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53" spans="1:6" ht="18.75" customHeight="1" thickBot="1" x14ac:dyDescent="0.35">
      <c r="A253" s="39"/>
      <c r="B25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5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5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5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5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54" spans="1:6" ht="18.75" customHeight="1" x14ac:dyDescent="0.3">
      <c r="A254" s="40" t="s">
        <v>184</v>
      </c>
      <c r="B25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5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5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5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5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55" spans="1:6" ht="18.75" customHeight="1" thickBot="1" x14ac:dyDescent="0.35">
      <c r="A255" s="41"/>
      <c r="B25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5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5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5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5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56" spans="1:6" ht="18.75" customHeight="1" x14ac:dyDescent="0.3">
      <c r="A256" s="42" t="s">
        <v>185</v>
      </c>
      <c r="B25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5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5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5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5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57" spans="1:6" ht="18.75" customHeight="1" thickBot="1" x14ac:dyDescent="0.35">
      <c r="A257" s="43"/>
      <c r="B25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5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5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5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5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58" spans="1:6" ht="18.75" customHeight="1" x14ac:dyDescent="0.3">
      <c r="A258" s="44" t="s">
        <v>186</v>
      </c>
      <c r="B25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5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5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5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5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59" spans="1:6" ht="18.75" customHeight="1" thickBot="1" x14ac:dyDescent="0.35">
      <c r="A259" s="45"/>
      <c r="B25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5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5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5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5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60" spans="1:6" ht="18.75" customHeight="1" x14ac:dyDescent="0.3">
      <c r="A260" s="38" t="s">
        <v>187</v>
      </c>
      <c r="B26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6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6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6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6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61" spans="1:6" ht="18.75" customHeight="1" thickBot="1" x14ac:dyDescent="0.35">
      <c r="A261" s="39"/>
      <c r="B26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6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6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6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6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62" spans="1:6" ht="18.75" customHeight="1" x14ac:dyDescent="0.3">
      <c r="A262" s="40" t="s">
        <v>188</v>
      </c>
      <c r="B26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6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6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6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6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63" spans="1:6" ht="18.75" customHeight="1" thickBot="1" x14ac:dyDescent="0.35">
      <c r="A263" s="41"/>
      <c r="B26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6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6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6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6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64" spans="1:6" ht="18.75" customHeight="1" x14ac:dyDescent="0.3">
      <c r="A264" s="42" t="s">
        <v>189</v>
      </c>
      <c r="B26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6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6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6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6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65" spans="1:6" ht="18.75" customHeight="1" thickBot="1" x14ac:dyDescent="0.35">
      <c r="A265" s="43"/>
      <c r="B26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6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6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6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6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66" spans="1:6" ht="18.75" customHeight="1" x14ac:dyDescent="0.3">
      <c r="A266" s="44" t="s">
        <v>190</v>
      </c>
      <c r="B26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6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6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6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6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67" spans="1:6" ht="18.75" customHeight="1" thickBot="1" x14ac:dyDescent="0.35">
      <c r="A267" s="45"/>
      <c r="B26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6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6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6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6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68" spans="1:6" ht="18.75" customHeight="1" x14ac:dyDescent="0.3">
      <c r="A268" s="38" t="s">
        <v>191</v>
      </c>
      <c r="B26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6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6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6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6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69" spans="1:6" ht="18.75" customHeight="1" thickBot="1" x14ac:dyDescent="0.35">
      <c r="A269" s="39"/>
      <c r="B26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6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6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6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6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70" spans="1:6" ht="18.75" customHeight="1" x14ac:dyDescent="0.3">
      <c r="A270" s="40" t="s">
        <v>192</v>
      </c>
      <c r="B27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7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7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7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7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71" spans="1:6" ht="18.75" customHeight="1" thickBot="1" x14ac:dyDescent="0.35">
      <c r="A271" s="41"/>
      <c r="B27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7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7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7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7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72" spans="1:6" ht="18.75" customHeight="1" x14ac:dyDescent="0.3">
      <c r="A272" s="42" t="s">
        <v>193</v>
      </c>
      <c r="B27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7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7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7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7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73" spans="1:6" ht="18.75" customHeight="1" thickBot="1" x14ac:dyDescent="0.35">
      <c r="A273" s="43"/>
      <c r="B27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7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7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7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7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74" spans="1:6" ht="18.75" customHeight="1" x14ac:dyDescent="0.3">
      <c r="A274" s="44" t="s">
        <v>194</v>
      </c>
      <c r="B27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7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7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7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7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75" spans="1:6" ht="18.75" customHeight="1" thickBot="1" x14ac:dyDescent="0.35">
      <c r="A275" s="45"/>
      <c r="B27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7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7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7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7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76" spans="1:6" ht="18.75" customHeight="1" x14ac:dyDescent="0.3">
      <c r="A276" s="38" t="s">
        <v>195</v>
      </c>
      <c r="B27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7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7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7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7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77" spans="1:6" ht="18.75" customHeight="1" thickBot="1" x14ac:dyDescent="0.35">
      <c r="A277" s="39"/>
      <c r="B27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7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7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7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7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78" spans="1:6" ht="18.75" customHeight="1" x14ac:dyDescent="0.3">
      <c r="A278" s="40" t="s">
        <v>196</v>
      </c>
      <c r="B27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7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7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7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7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79" spans="1:6" ht="18.75" customHeight="1" thickBot="1" x14ac:dyDescent="0.35">
      <c r="A279" s="41"/>
      <c r="B27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7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7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7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7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80" spans="1:6" ht="18.75" customHeight="1" x14ac:dyDescent="0.3">
      <c r="A280" s="42" t="s">
        <v>197</v>
      </c>
      <c r="B28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8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8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8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8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81" spans="1:6" ht="18.75" customHeight="1" thickBot="1" x14ac:dyDescent="0.35">
      <c r="A281" s="43"/>
      <c r="B28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8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8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8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8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82" spans="1:6" ht="18.75" customHeight="1" x14ac:dyDescent="0.3">
      <c r="A282" s="44" t="s">
        <v>198</v>
      </c>
      <c r="B28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8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8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8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8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83" spans="1:6" ht="18.75" customHeight="1" thickBot="1" x14ac:dyDescent="0.35">
      <c r="A283" s="45"/>
      <c r="B28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8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8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8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8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84" spans="1:6" ht="18.75" customHeight="1" x14ac:dyDescent="0.3">
      <c r="A284" s="38" t="s">
        <v>199</v>
      </c>
      <c r="B28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8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8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8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8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85" spans="1:6" ht="18.75" customHeight="1" thickBot="1" x14ac:dyDescent="0.35">
      <c r="A285" s="39"/>
      <c r="B28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8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8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8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8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86" spans="1:6" ht="18.75" customHeight="1" x14ac:dyDescent="0.3">
      <c r="A286" s="40" t="s">
        <v>200</v>
      </c>
      <c r="B28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8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8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8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8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87" spans="1:6" ht="18.75" customHeight="1" thickBot="1" x14ac:dyDescent="0.35">
      <c r="A287" s="41"/>
      <c r="B28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8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8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8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8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88" spans="1:6" ht="18.75" customHeight="1" x14ac:dyDescent="0.3">
      <c r="A288" s="42" t="s">
        <v>201</v>
      </c>
      <c r="B28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8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8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8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8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89" spans="1:6" ht="18.75" customHeight="1" thickBot="1" x14ac:dyDescent="0.35">
      <c r="A289" s="43"/>
      <c r="B28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8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8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8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8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90" spans="1:6" ht="18.75" customHeight="1" x14ac:dyDescent="0.3">
      <c r="A290" s="44" t="s">
        <v>202</v>
      </c>
      <c r="B29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9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9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9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9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91" spans="1:6" ht="18.75" customHeight="1" thickBot="1" x14ac:dyDescent="0.35">
      <c r="A291" s="45"/>
      <c r="B29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9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9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9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9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92" spans="1:6" ht="18.75" customHeight="1" x14ac:dyDescent="0.3">
      <c r="A292" s="38" t="s">
        <v>203</v>
      </c>
      <c r="B29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9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9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9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9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93" spans="1:6" ht="18.75" customHeight="1" thickBot="1" x14ac:dyDescent="0.35">
      <c r="A293" s="39"/>
      <c r="B29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9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9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9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9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94" spans="1:6" ht="18.75" customHeight="1" x14ac:dyDescent="0.3">
      <c r="A294" s="40" t="s">
        <v>204</v>
      </c>
      <c r="B29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9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9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9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9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95" spans="1:6" ht="18.75" customHeight="1" thickBot="1" x14ac:dyDescent="0.35">
      <c r="A295" s="41"/>
      <c r="B29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9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9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9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9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96" spans="1:6" ht="18.75" customHeight="1" x14ac:dyDescent="0.3">
      <c r="A296" s="42" t="s">
        <v>205</v>
      </c>
      <c r="B29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9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9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9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9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97" spans="1:6" ht="18.75" customHeight="1" thickBot="1" x14ac:dyDescent="0.35">
      <c r="A297" s="43"/>
      <c r="B29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9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9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9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9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298" spans="1:6" ht="18.75" customHeight="1" x14ac:dyDescent="0.3">
      <c r="A298" s="44" t="s">
        <v>206</v>
      </c>
      <c r="B29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29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29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29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29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299" spans="1:6" ht="18.75" customHeight="1" thickBot="1" x14ac:dyDescent="0.35">
      <c r="A299" s="45"/>
      <c r="B29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29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29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29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29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00" spans="1:6" ht="18.75" customHeight="1" x14ac:dyDescent="0.3">
      <c r="A300" s="38" t="s">
        <v>207</v>
      </c>
      <c r="B30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0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0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0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0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01" spans="1:6" ht="18.75" customHeight="1" thickBot="1" x14ac:dyDescent="0.35">
      <c r="A301" s="39"/>
      <c r="B30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0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0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0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0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02" spans="1:6" ht="18.75" customHeight="1" x14ac:dyDescent="0.3">
      <c r="A302" s="40" t="s">
        <v>208</v>
      </c>
      <c r="B30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0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0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0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0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03" spans="1:6" ht="18.75" customHeight="1" thickBot="1" x14ac:dyDescent="0.35">
      <c r="A303" s="41"/>
      <c r="B30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0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0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0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0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04" spans="1:6" ht="18.75" customHeight="1" x14ac:dyDescent="0.3">
      <c r="A304" s="42" t="s">
        <v>209</v>
      </c>
      <c r="B30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0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0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0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0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05" spans="1:6" ht="18.75" customHeight="1" thickBot="1" x14ac:dyDescent="0.35">
      <c r="A305" s="43"/>
      <c r="B30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0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0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0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0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06" spans="1:6" ht="18.75" customHeight="1" x14ac:dyDescent="0.3">
      <c r="A306" s="44" t="s">
        <v>210</v>
      </c>
      <c r="B30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0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0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0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0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07" spans="1:6" ht="18.75" customHeight="1" thickBot="1" x14ac:dyDescent="0.35">
      <c r="A307" s="45"/>
      <c r="B30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0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0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0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0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08" spans="1:6" ht="18.75" customHeight="1" x14ac:dyDescent="0.3">
      <c r="A308" s="38" t="s">
        <v>211</v>
      </c>
      <c r="B30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0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0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0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0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09" spans="1:6" ht="18.75" customHeight="1" thickBot="1" x14ac:dyDescent="0.35">
      <c r="A309" s="39"/>
      <c r="B30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0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0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0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0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10" spans="1:6" ht="18.75" customHeight="1" x14ac:dyDescent="0.3">
      <c r="A310" s="40" t="s">
        <v>212</v>
      </c>
      <c r="B31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1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1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1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1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11" spans="1:6" ht="18.75" customHeight="1" thickBot="1" x14ac:dyDescent="0.35">
      <c r="A311" s="41"/>
      <c r="B31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1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1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1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1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12" spans="1:6" ht="18.75" customHeight="1" x14ac:dyDescent="0.3">
      <c r="A312" s="42" t="s">
        <v>213</v>
      </c>
      <c r="B31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1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1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1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1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13" spans="1:6" ht="18.75" customHeight="1" thickBot="1" x14ac:dyDescent="0.35">
      <c r="A313" s="43"/>
      <c r="B31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1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1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1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1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14" spans="1:6" ht="18.75" customHeight="1" x14ac:dyDescent="0.3">
      <c r="A314" s="44" t="s">
        <v>214</v>
      </c>
      <c r="B31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1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1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1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1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15" spans="1:6" ht="18.75" customHeight="1" thickBot="1" x14ac:dyDescent="0.35">
      <c r="A315" s="45"/>
      <c r="B31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1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1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1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1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16" spans="1:6" ht="18.75" customHeight="1" x14ac:dyDescent="0.3">
      <c r="A316" s="38" t="s">
        <v>215</v>
      </c>
      <c r="B31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1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1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1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1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17" spans="1:6" ht="18.75" customHeight="1" thickBot="1" x14ac:dyDescent="0.35">
      <c r="A317" s="39"/>
      <c r="B31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1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1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1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1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18" spans="1:6" ht="18.75" customHeight="1" x14ac:dyDescent="0.3">
      <c r="A318" s="40" t="s">
        <v>216</v>
      </c>
      <c r="B31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1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1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1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1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19" spans="1:6" ht="18.75" customHeight="1" thickBot="1" x14ac:dyDescent="0.35">
      <c r="A319" s="41"/>
      <c r="B31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1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1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1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1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20" spans="1:6" ht="18.75" customHeight="1" x14ac:dyDescent="0.3">
      <c r="A320" s="42" t="s">
        <v>217</v>
      </c>
      <c r="B32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2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2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2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2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21" spans="1:6" ht="18.75" customHeight="1" thickBot="1" x14ac:dyDescent="0.35">
      <c r="A321" s="43"/>
      <c r="B32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2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2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2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2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22" spans="1:6" ht="18.75" customHeight="1" x14ac:dyDescent="0.3">
      <c r="A322" s="44" t="s">
        <v>218</v>
      </c>
      <c r="B32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2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2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2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2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23" spans="1:6" ht="18.75" customHeight="1" thickBot="1" x14ac:dyDescent="0.35">
      <c r="A323" s="45"/>
      <c r="B32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2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2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2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2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24" spans="1:6" ht="18.75" customHeight="1" x14ac:dyDescent="0.3">
      <c r="A324" s="38" t="s">
        <v>219</v>
      </c>
      <c r="B32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2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2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2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2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25" spans="1:6" ht="18.75" customHeight="1" thickBot="1" x14ac:dyDescent="0.35">
      <c r="A325" s="39"/>
      <c r="B32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2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2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2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2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26" spans="1:6" ht="18.75" customHeight="1" x14ac:dyDescent="0.3">
      <c r="A326" s="40" t="s">
        <v>220</v>
      </c>
      <c r="B32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2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2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2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2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27" spans="1:6" ht="18.75" customHeight="1" thickBot="1" x14ac:dyDescent="0.35">
      <c r="A327" s="41"/>
      <c r="B32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2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2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2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2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28" spans="1:6" ht="18.75" customHeight="1" x14ac:dyDescent="0.3">
      <c r="A328" s="42" t="s">
        <v>221</v>
      </c>
      <c r="B32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2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2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2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2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29" spans="1:6" ht="18.75" customHeight="1" thickBot="1" x14ac:dyDescent="0.35">
      <c r="A329" s="43"/>
      <c r="B32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2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2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2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2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30" spans="1:6" ht="18.75" customHeight="1" x14ac:dyDescent="0.3">
      <c r="A330" s="44" t="s">
        <v>222</v>
      </c>
      <c r="B33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3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3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3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3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31" spans="1:6" ht="18.75" customHeight="1" thickBot="1" x14ac:dyDescent="0.35">
      <c r="A331" s="45"/>
      <c r="B33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3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3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3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3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32" spans="1:6" ht="18.75" customHeight="1" x14ac:dyDescent="0.3">
      <c r="A332" s="38" t="s">
        <v>223</v>
      </c>
      <c r="B33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3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3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3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3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33" spans="1:6" ht="18.75" customHeight="1" thickBot="1" x14ac:dyDescent="0.35">
      <c r="A333" s="39"/>
      <c r="B33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3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3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3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3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34" spans="1:6" ht="18.75" customHeight="1" x14ac:dyDescent="0.3">
      <c r="A334" s="40" t="s">
        <v>224</v>
      </c>
      <c r="B33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3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3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3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3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35" spans="1:6" ht="18.75" customHeight="1" thickBot="1" x14ac:dyDescent="0.35">
      <c r="A335" s="41"/>
      <c r="B33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3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3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3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3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36" spans="1:6" ht="18.75" customHeight="1" x14ac:dyDescent="0.3">
      <c r="A336" s="42" t="s">
        <v>225</v>
      </c>
      <c r="B33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3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3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3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3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37" spans="1:6" ht="18.75" customHeight="1" thickBot="1" x14ac:dyDescent="0.35">
      <c r="A337" s="43"/>
      <c r="B33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3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3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3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3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38" spans="1:6" ht="18.75" customHeight="1" x14ac:dyDescent="0.3">
      <c r="A338" s="44" t="s">
        <v>226</v>
      </c>
      <c r="B33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3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3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3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3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39" spans="1:6" ht="18.75" customHeight="1" thickBot="1" x14ac:dyDescent="0.35">
      <c r="A339" s="45"/>
      <c r="B33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3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3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3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3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40" spans="1:6" ht="18.75" customHeight="1" x14ac:dyDescent="0.3">
      <c r="A340" s="38" t="s">
        <v>227</v>
      </c>
      <c r="B34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4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4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4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4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41" spans="1:6" ht="18.75" customHeight="1" thickBot="1" x14ac:dyDescent="0.35">
      <c r="A341" s="39"/>
      <c r="B34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4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4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4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4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42" spans="1:6" ht="18.75" customHeight="1" x14ac:dyDescent="0.3">
      <c r="A342" s="40" t="s">
        <v>228</v>
      </c>
      <c r="B34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4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4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4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4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43" spans="1:6" ht="18.75" customHeight="1" thickBot="1" x14ac:dyDescent="0.35">
      <c r="A343" s="41"/>
      <c r="B34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4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4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4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4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44" spans="1:6" ht="18.75" customHeight="1" x14ac:dyDescent="0.3">
      <c r="A344" s="42" t="s">
        <v>229</v>
      </c>
      <c r="B34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4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4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4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4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45" spans="1:6" ht="18.75" customHeight="1" thickBot="1" x14ac:dyDescent="0.35">
      <c r="A345" s="43"/>
      <c r="B34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4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4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4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4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46" spans="1:6" ht="18.75" customHeight="1" x14ac:dyDescent="0.3">
      <c r="A346" s="44" t="s">
        <v>230</v>
      </c>
      <c r="B34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4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4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4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4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47" spans="1:6" ht="18.75" customHeight="1" thickBot="1" x14ac:dyDescent="0.35">
      <c r="A347" s="45"/>
      <c r="B34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4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4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4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4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48" spans="1:6" ht="18.75" customHeight="1" x14ac:dyDescent="0.3">
      <c r="A348" s="38" t="s">
        <v>231</v>
      </c>
      <c r="B34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4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4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4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4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49" spans="1:6" ht="18.75" customHeight="1" thickBot="1" x14ac:dyDescent="0.35">
      <c r="A349" s="39"/>
      <c r="B34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4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4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4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4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50" spans="1:6" ht="18.75" customHeight="1" x14ac:dyDescent="0.3">
      <c r="A350" s="40" t="s">
        <v>232</v>
      </c>
      <c r="B35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5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5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5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5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51" spans="1:6" ht="18.75" customHeight="1" thickBot="1" x14ac:dyDescent="0.35">
      <c r="A351" s="41"/>
      <c r="B35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5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5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5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5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52" spans="1:6" ht="18.75" customHeight="1" x14ac:dyDescent="0.3">
      <c r="A352" s="42" t="s">
        <v>233</v>
      </c>
      <c r="B35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5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5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5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5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53" spans="1:6" ht="18.75" customHeight="1" thickBot="1" x14ac:dyDescent="0.35">
      <c r="A353" s="43"/>
      <c r="B35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5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5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5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5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54" spans="1:6" ht="18.75" customHeight="1" x14ac:dyDescent="0.3">
      <c r="A354" s="44" t="s">
        <v>234</v>
      </c>
      <c r="B35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5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5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5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5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55" spans="1:6" ht="18.75" customHeight="1" thickBot="1" x14ac:dyDescent="0.35">
      <c r="A355" s="45"/>
      <c r="B35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5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5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5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5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56" spans="1:6" ht="18.75" customHeight="1" x14ac:dyDescent="0.3">
      <c r="A356" s="38" t="s">
        <v>235</v>
      </c>
      <c r="B35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5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5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5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5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57" spans="1:6" ht="18.75" customHeight="1" thickBot="1" x14ac:dyDescent="0.35">
      <c r="A357" s="39"/>
      <c r="B35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5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5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5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5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58" spans="1:6" ht="18.75" customHeight="1" x14ac:dyDescent="0.3">
      <c r="A358" s="40" t="s">
        <v>236</v>
      </c>
      <c r="B35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5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5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5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5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59" spans="1:6" ht="18.75" customHeight="1" thickBot="1" x14ac:dyDescent="0.35">
      <c r="A359" s="41"/>
      <c r="B35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5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5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5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5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60" spans="1:6" ht="18.75" customHeight="1" x14ac:dyDescent="0.3">
      <c r="A360" s="42" t="s">
        <v>237</v>
      </c>
      <c r="B36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6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6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6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6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61" spans="1:6" ht="18.75" customHeight="1" thickBot="1" x14ac:dyDescent="0.35">
      <c r="A361" s="43"/>
      <c r="B36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6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6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6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6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62" spans="1:6" ht="18.75" customHeight="1" x14ac:dyDescent="0.3">
      <c r="A362" s="44" t="s">
        <v>238</v>
      </c>
      <c r="B36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6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6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6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6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63" spans="1:6" ht="18.75" customHeight="1" thickBot="1" x14ac:dyDescent="0.35">
      <c r="A363" s="45"/>
      <c r="B36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6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6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6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6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64" spans="1:6" ht="18.75" customHeight="1" x14ac:dyDescent="0.3">
      <c r="A364" s="38" t="s">
        <v>239</v>
      </c>
      <c r="B36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6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6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6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6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65" spans="1:6" ht="18.75" customHeight="1" thickBot="1" x14ac:dyDescent="0.35">
      <c r="A365" s="39"/>
      <c r="B36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6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6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6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6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66" spans="1:6" ht="18.75" customHeight="1" x14ac:dyDescent="0.3">
      <c r="A366" s="40" t="s">
        <v>240</v>
      </c>
      <c r="B36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6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6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6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6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67" spans="1:6" ht="18.75" customHeight="1" thickBot="1" x14ac:dyDescent="0.35">
      <c r="A367" s="41"/>
      <c r="B36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6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6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6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6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68" spans="1:6" ht="18.75" customHeight="1" x14ac:dyDescent="0.3">
      <c r="A368" s="42" t="s">
        <v>241</v>
      </c>
      <c r="B36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6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6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6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6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69" spans="1:6" ht="18.75" customHeight="1" thickBot="1" x14ac:dyDescent="0.35">
      <c r="A369" s="43"/>
      <c r="B36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6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6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6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6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70" spans="1:6" ht="18.75" customHeight="1" x14ac:dyDescent="0.3">
      <c r="A370" s="44" t="s">
        <v>242</v>
      </c>
      <c r="B37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7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7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7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7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71" spans="1:6" ht="18.75" customHeight="1" thickBot="1" x14ac:dyDescent="0.35">
      <c r="A371" s="45"/>
      <c r="B37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7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7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7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7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72" spans="1:6" ht="18.75" customHeight="1" x14ac:dyDescent="0.3">
      <c r="A372" s="38" t="s">
        <v>243</v>
      </c>
      <c r="B37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7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7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7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7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73" spans="1:6" ht="18.75" customHeight="1" thickBot="1" x14ac:dyDescent="0.35">
      <c r="A373" s="39"/>
      <c r="B37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7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7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7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7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74" spans="1:6" ht="18.75" customHeight="1" x14ac:dyDescent="0.3">
      <c r="A374" s="40" t="s">
        <v>244</v>
      </c>
      <c r="B37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7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7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7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7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75" spans="1:6" ht="18.75" customHeight="1" thickBot="1" x14ac:dyDescent="0.35">
      <c r="A375" s="41"/>
      <c r="B37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7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7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7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7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76" spans="1:6" ht="18.75" customHeight="1" x14ac:dyDescent="0.3">
      <c r="A376" s="42" t="s">
        <v>245</v>
      </c>
      <c r="B37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7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7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7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7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77" spans="1:6" ht="18.75" customHeight="1" thickBot="1" x14ac:dyDescent="0.35">
      <c r="A377" s="43"/>
      <c r="B37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7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7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7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7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78" spans="1:6" ht="18.75" customHeight="1" x14ac:dyDescent="0.3">
      <c r="A378" s="44" t="s">
        <v>246</v>
      </c>
      <c r="B37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7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7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7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7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79" spans="1:6" ht="18.75" customHeight="1" thickBot="1" x14ac:dyDescent="0.35">
      <c r="A379" s="45"/>
      <c r="B37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7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7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7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7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80" spans="1:6" ht="18.75" customHeight="1" x14ac:dyDescent="0.3">
      <c r="A380" s="38" t="s">
        <v>247</v>
      </c>
      <c r="B38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8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8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8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8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81" spans="1:6" ht="18.75" customHeight="1" thickBot="1" x14ac:dyDescent="0.35">
      <c r="A381" s="39"/>
      <c r="B38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8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8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8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8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82" spans="1:6" ht="18.75" customHeight="1" x14ac:dyDescent="0.3">
      <c r="A382" s="40" t="s">
        <v>248</v>
      </c>
      <c r="B38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8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8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8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8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83" spans="1:6" ht="18.75" customHeight="1" thickBot="1" x14ac:dyDescent="0.35">
      <c r="A383" s="41"/>
      <c r="B38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8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8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8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8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84" spans="1:6" ht="18.75" customHeight="1" x14ac:dyDescent="0.3">
      <c r="A384" s="42" t="s">
        <v>249</v>
      </c>
      <c r="B38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8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8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8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8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85" spans="1:6" ht="18.75" customHeight="1" thickBot="1" x14ac:dyDescent="0.35">
      <c r="A385" s="43"/>
      <c r="B38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8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8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8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8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86" spans="1:6" ht="18.75" customHeight="1" x14ac:dyDescent="0.3">
      <c r="A386" s="44" t="s">
        <v>250</v>
      </c>
      <c r="B38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8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8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8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8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87" spans="1:6" ht="18.75" customHeight="1" thickBot="1" x14ac:dyDescent="0.35">
      <c r="A387" s="45"/>
      <c r="B38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8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8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8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8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88" spans="1:6" ht="18.75" customHeight="1" x14ac:dyDescent="0.3">
      <c r="A388" s="38" t="s">
        <v>251</v>
      </c>
      <c r="B38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8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8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8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8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89" spans="1:6" ht="18.75" customHeight="1" thickBot="1" x14ac:dyDescent="0.35">
      <c r="A389" s="39"/>
      <c r="B38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8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8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8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8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90" spans="1:6" ht="18.75" customHeight="1" x14ac:dyDescent="0.3">
      <c r="A390" s="40" t="s">
        <v>252</v>
      </c>
      <c r="B39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9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9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9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9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91" spans="1:6" ht="18.75" customHeight="1" thickBot="1" x14ac:dyDescent="0.35">
      <c r="A391" s="41"/>
      <c r="B39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9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9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9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9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92" spans="1:6" ht="18.75" customHeight="1" x14ac:dyDescent="0.3">
      <c r="A392" s="42" t="s">
        <v>253</v>
      </c>
      <c r="B39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9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9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9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9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93" spans="1:6" ht="18.75" customHeight="1" thickBot="1" x14ac:dyDescent="0.35">
      <c r="A393" s="43"/>
      <c r="B39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9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9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9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9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94" spans="1:6" ht="18.75" customHeight="1" x14ac:dyDescent="0.3">
      <c r="A394" s="44" t="s">
        <v>254</v>
      </c>
      <c r="B39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9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9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9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9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95" spans="1:6" ht="18.75" customHeight="1" thickBot="1" x14ac:dyDescent="0.35">
      <c r="A395" s="45"/>
      <c r="B39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9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9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9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9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96" spans="1:6" ht="18.75" customHeight="1" x14ac:dyDescent="0.3">
      <c r="A396" s="38" t="s">
        <v>255</v>
      </c>
      <c r="B39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9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9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9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9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97" spans="1:6" ht="18.75" customHeight="1" thickBot="1" x14ac:dyDescent="0.35">
      <c r="A397" s="39"/>
      <c r="B39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9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9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9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9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398" spans="1:6" ht="18.75" customHeight="1" x14ac:dyDescent="0.3">
      <c r="A398" s="40" t="s">
        <v>256</v>
      </c>
      <c r="B39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39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39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39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39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399" spans="1:6" ht="18.75" customHeight="1" thickBot="1" x14ac:dyDescent="0.35">
      <c r="A399" s="41"/>
      <c r="B39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39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39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39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39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00" spans="1:6" ht="18.75" customHeight="1" x14ac:dyDescent="0.3">
      <c r="A400" s="42" t="s">
        <v>257</v>
      </c>
      <c r="B40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0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0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0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0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01" spans="1:6" ht="18.75" customHeight="1" thickBot="1" x14ac:dyDescent="0.35">
      <c r="A401" s="43"/>
      <c r="B40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0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0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0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0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02" spans="1:6" ht="18.75" customHeight="1" x14ac:dyDescent="0.3">
      <c r="A402" s="44" t="s">
        <v>258</v>
      </c>
      <c r="B40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0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0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0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0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03" spans="1:6" ht="18.75" customHeight="1" thickBot="1" x14ac:dyDescent="0.35">
      <c r="A403" s="45"/>
      <c r="B40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0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0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0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0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04" spans="1:6" ht="18.75" customHeight="1" x14ac:dyDescent="0.3">
      <c r="A404" s="38" t="s">
        <v>259</v>
      </c>
      <c r="B40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0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0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0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0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05" spans="1:6" ht="18.75" customHeight="1" thickBot="1" x14ac:dyDescent="0.35">
      <c r="A405" s="39"/>
      <c r="B40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0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0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0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0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06" spans="1:6" ht="18.75" customHeight="1" x14ac:dyDescent="0.3">
      <c r="A406" s="40" t="s">
        <v>260</v>
      </c>
      <c r="B40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0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0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0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0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07" spans="1:6" ht="18.75" customHeight="1" thickBot="1" x14ac:dyDescent="0.35">
      <c r="A407" s="41"/>
      <c r="B40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0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0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0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0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08" spans="1:6" ht="18.75" customHeight="1" x14ac:dyDescent="0.3">
      <c r="A408" s="42" t="s">
        <v>261</v>
      </c>
      <c r="B40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0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0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0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0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09" spans="1:6" ht="18.75" customHeight="1" thickBot="1" x14ac:dyDescent="0.35">
      <c r="A409" s="43"/>
      <c r="B40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0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0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0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0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10" spans="1:6" ht="18.75" customHeight="1" x14ac:dyDescent="0.3">
      <c r="A410" s="44" t="s">
        <v>262</v>
      </c>
      <c r="B41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1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1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1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1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11" spans="1:6" ht="18.75" customHeight="1" thickBot="1" x14ac:dyDescent="0.35">
      <c r="A411" s="45"/>
      <c r="B41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1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1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1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1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12" spans="1:6" ht="18.75" customHeight="1" x14ac:dyDescent="0.3">
      <c r="A412" s="38" t="s">
        <v>263</v>
      </c>
      <c r="B41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1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1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1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1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13" spans="1:6" ht="18.75" customHeight="1" thickBot="1" x14ac:dyDescent="0.35">
      <c r="A413" s="39"/>
      <c r="B41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1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1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1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1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14" spans="1:6" ht="18.75" customHeight="1" x14ac:dyDescent="0.3">
      <c r="A414" s="40" t="s">
        <v>264</v>
      </c>
      <c r="B41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1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1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1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1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15" spans="1:6" ht="18.75" customHeight="1" thickBot="1" x14ac:dyDescent="0.35">
      <c r="A415" s="41"/>
      <c r="B41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1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1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1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1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16" spans="1:6" ht="18.75" customHeight="1" x14ac:dyDescent="0.3">
      <c r="A416" s="42" t="s">
        <v>265</v>
      </c>
      <c r="B41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1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1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1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1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17" spans="1:6" ht="18.75" customHeight="1" thickBot="1" x14ac:dyDescent="0.35">
      <c r="A417" s="43"/>
      <c r="B41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1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1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1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1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18" spans="1:6" ht="18.75" customHeight="1" x14ac:dyDescent="0.3">
      <c r="A418" s="44" t="s">
        <v>266</v>
      </c>
      <c r="B41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1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1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1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1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19" spans="1:6" ht="18.75" customHeight="1" thickBot="1" x14ac:dyDescent="0.35">
      <c r="A419" s="45"/>
      <c r="B41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1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1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1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1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20" spans="1:6" ht="18.75" customHeight="1" x14ac:dyDescent="0.3">
      <c r="A420" s="38" t="s">
        <v>267</v>
      </c>
      <c r="B42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2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2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2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2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21" spans="1:6" ht="18.75" customHeight="1" thickBot="1" x14ac:dyDescent="0.35">
      <c r="A421" s="39"/>
      <c r="B42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2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2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2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2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22" spans="1:6" ht="18.75" customHeight="1" x14ac:dyDescent="0.3">
      <c r="A422" s="40" t="s">
        <v>268</v>
      </c>
      <c r="B42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2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2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2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2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23" spans="1:6" ht="18.75" customHeight="1" thickBot="1" x14ac:dyDescent="0.35">
      <c r="A423" s="41"/>
      <c r="B42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2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2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2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2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24" spans="1:6" ht="18.75" customHeight="1" x14ac:dyDescent="0.3">
      <c r="A424" s="42" t="s">
        <v>269</v>
      </c>
      <c r="B42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2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2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2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2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25" spans="1:6" ht="18.75" customHeight="1" thickBot="1" x14ac:dyDescent="0.35">
      <c r="A425" s="43"/>
      <c r="B42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2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2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2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2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26" spans="1:6" ht="18.75" customHeight="1" x14ac:dyDescent="0.3">
      <c r="A426" s="44" t="s">
        <v>270</v>
      </c>
      <c r="B42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2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2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2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2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27" spans="1:6" ht="18.75" customHeight="1" thickBot="1" x14ac:dyDescent="0.35">
      <c r="A427" s="45"/>
      <c r="B42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2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2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2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2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28" spans="1:6" ht="18.75" customHeight="1" x14ac:dyDescent="0.3">
      <c r="A428" s="38" t="s">
        <v>271</v>
      </c>
      <c r="B42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2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2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2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2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29" spans="1:6" ht="18.75" customHeight="1" thickBot="1" x14ac:dyDescent="0.35">
      <c r="A429" s="39"/>
      <c r="B42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2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2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2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2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30" spans="1:6" ht="18.75" customHeight="1" x14ac:dyDescent="0.3">
      <c r="A430" s="40" t="s">
        <v>272</v>
      </c>
      <c r="B43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3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3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3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3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31" spans="1:6" ht="18.75" customHeight="1" thickBot="1" x14ac:dyDescent="0.35">
      <c r="A431" s="41"/>
      <c r="B43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3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3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3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3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32" spans="1:6" ht="18.75" customHeight="1" x14ac:dyDescent="0.3">
      <c r="A432" s="42" t="s">
        <v>273</v>
      </c>
      <c r="B43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3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3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3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3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33" spans="1:6" ht="18.75" customHeight="1" thickBot="1" x14ac:dyDescent="0.35">
      <c r="A433" s="43"/>
      <c r="B43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3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3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3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3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34" spans="1:6" ht="18.75" customHeight="1" x14ac:dyDescent="0.3">
      <c r="A434" s="44" t="s">
        <v>274</v>
      </c>
      <c r="B43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3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3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3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3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35" spans="1:6" ht="18.75" customHeight="1" thickBot="1" x14ac:dyDescent="0.35">
      <c r="A435" s="45"/>
      <c r="B43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3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3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3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3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36" spans="1:6" ht="18.75" customHeight="1" x14ac:dyDescent="0.3">
      <c r="A436" s="38" t="s">
        <v>275</v>
      </c>
      <c r="B43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3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3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3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3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37" spans="1:6" ht="18.75" customHeight="1" thickBot="1" x14ac:dyDescent="0.35">
      <c r="A437" s="39"/>
      <c r="B43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3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3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3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3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38" spans="1:6" ht="18.75" customHeight="1" x14ac:dyDescent="0.3">
      <c r="A438" s="40" t="s">
        <v>276</v>
      </c>
      <c r="B43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3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3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3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3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39" spans="1:6" ht="18.75" customHeight="1" thickBot="1" x14ac:dyDescent="0.35">
      <c r="A439" s="41"/>
      <c r="B43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3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3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3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3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40" spans="1:6" ht="18.75" customHeight="1" x14ac:dyDescent="0.3">
      <c r="A440" s="42" t="s">
        <v>277</v>
      </c>
      <c r="B44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4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4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4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4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41" spans="1:6" ht="18.75" customHeight="1" thickBot="1" x14ac:dyDescent="0.35">
      <c r="A441" s="43"/>
      <c r="B44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4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4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4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4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42" spans="1:6" ht="18.75" customHeight="1" x14ac:dyDescent="0.3">
      <c r="A442" s="44" t="s">
        <v>278</v>
      </c>
      <c r="B44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4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4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4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4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43" spans="1:6" ht="18.75" customHeight="1" thickBot="1" x14ac:dyDescent="0.35">
      <c r="A443" s="45"/>
      <c r="B44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4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4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4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4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44" spans="1:6" ht="18.75" customHeight="1" x14ac:dyDescent="0.3">
      <c r="A444" s="38" t="s">
        <v>279</v>
      </c>
      <c r="B44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4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4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4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4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45" spans="1:6" ht="18.75" customHeight="1" thickBot="1" x14ac:dyDescent="0.35">
      <c r="A445" s="39"/>
      <c r="B44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4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4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4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4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46" spans="1:6" ht="18.75" customHeight="1" x14ac:dyDescent="0.3">
      <c r="A446" s="40" t="s">
        <v>280</v>
      </c>
      <c r="B44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4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4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4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4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47" spans="1:6" ht="18.75" customHeight="1" thickBot="1" x14ac:dyDescent="0.35">
      <c r="A447" s="41"/>
      <c r="B44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4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4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4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4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48" spans="1:6" ht="18.75" customHeight="1" x14ac:dyDescent="0.3">
      <c r="A448" s="42" t="s">
        <v>281</v>
      </c>
      <c r="B44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4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4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4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4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49" spans="1:6" ht="18.75" customHeight="1" thickBot="1" x14ac:dyDescent="0.35">
      <c r="A449" s="43"/>
      <c r="B44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4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4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4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4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50" spans="1:6" ht="18.75" customHeight="1" x14ac:dyDescent="0.3">
      <c r="A450" s="44" t="s">
        <v>282</v>
      </c>
      <c r="B45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5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5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5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5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51" spans="1:6" ht="18.75" customHeight="1" thickBot="1" x14ac:dyDescent="0.35">
      <c r="A451" s="45"/>
      <c r="B45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5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5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5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5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52" spans="1:6" ht="18.75" customHeight="1" x14ac:dyDescent="0.3">
      <c r="A452" s="38" t="s">
        <v>283</v>
      </c>
      <c r="B45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5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5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5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5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53" spans="1:6" ht="18.75" customHeight="1" thickBot="1" x14ac:dyDescent="0.35">
      <c r="A453" s="39"/>
      <c r="B45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5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5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5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5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54" spans="1:6" ht="18.75" customHeight="1" x14ac:dyDescent="0.3">
      <c r="A454" s="40" t="s">
        <v>284</v>
      </c>
      <c r="B45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5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5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5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5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55" spans="1:6" ht="18.75" customHeight="1" thickBot="1" x14ac:dyDescent="0.35">
      <c r="A455" s="41"/>
      <c r="B45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5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5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5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5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56" spans="1:6" ht="18.75" customHeight="1" x14ac:dyDescent="0.3">
      <c r="A456" s="42" t="s">
        <v>285</v>
      </c>
      <c r="B45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5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5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5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5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57" spans="1:6" ht="18.75" customHeight="1" thickBot="1" x14ac:dyDescent="0.35">
      <c r="A457" s="43"/>
      <c r="B45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5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5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5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5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58" spans="1:6" ht="18.75" customHeight="1" x14ac:dyDescent="0.3">
      <c r="A458" s="44" t="s">
        <v>286</v>
      </c>
      <c r="B45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5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5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5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5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59" spans="1:6" ht="18.75" customHeight="1" thickBot="1" x14ac:dyDescent="0.35">
      <c r="A459" s="45"/>
      <c r="B45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5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5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5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5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60" spans="1:6" ht="18.75" customHeight="1" x14ac:dyDescent="0.3">
      <c r="A460" s="38" t="s">
        <v>287</v>
      </c>
      <c r="B46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6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6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6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6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61" spans="1:6" ht="18.75" customHeight="1" thickBot="1" x14ac:dyDescent="0.35">
      <c r="A461" s="39"/>
      <c r="B46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6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6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6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6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62" spans="1:6" ht="18.75" customHeight="1" x14ac:dyDescent="0.3">
      <c r="A462" s="40" t="s">
        <v>288</v>
      </c>
      <c r="B46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6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6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6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6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63" spans="1:6" ht="18.75" customHeight="1" thickBot="1" x14ac:dyDescent="0.35">
      <c r="A463" s="41"/>
      <c r="B46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6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6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6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6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64" spans="1:6" ht="18.75" customHeight="1" x14ac:dyDescent="0.3">
      <c r="A464" s="42" t="s">
        <v>289</v>
      </c>
      <c r="B46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6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6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6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6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65" spans="1:6" ht="18.75" customHeight="1" thickBot="1" x14ac:dyDescent="0.35">
      <c r="A465" s="43"/>
      <c r="B46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6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6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6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6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66" spans="1:6" ht="18.75" customHeight="1" x14ac:dyDescent="0.3">
      <c r="A466" s="44" t="s">
        <v>290</v>
      </c>
      <c r="B46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6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6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6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6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67" spans="1:6" ht="18.75" customHeight="1" thickBot="1" x14ac:dyDescent="0.35">
      <c r="A467" s="45"/>
      <c r="B46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6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6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6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6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68" spans="1:6" ht="18.75" customHeight="1" x14ac:dyDescent="0.3">
      <c r="A468" s="38" t="s">
        <v>291</v>
      </c>
      <c r="B46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6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6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6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6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69" spans="1:6" ht="18.75" customHeight="1" thickBot="1" x14ac:dyDescent="0.35">
      <c r="A469" s="39"/>
      <c r="B46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6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6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6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6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70" spans="1:6" ht="18.75" customHeight="1" x14ac:dyDescent="0.3">
      <c r="A470" s="40" t="s">
        <v>292</v>
      </c>
      <c r="B47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7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7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7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7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71" spans="1:6" ht="18.75" customHeight="1" thickBot="1" x14ac:dyDescent="0.35">
      <c r="A471" s="41"/>
      <c r="B47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7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7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7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7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72" spans="1:6" ht="18.75" customHeight="1" x14ac:dyDescent="0.3">
      <c r="A472" s="42" t="s">
        <v>293</v>
      </c>
      <c r="B47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7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7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7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7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73" spans="1:6" ht="18.75" customHeight="1" thickBot="1" x14ac:dyDescent="0.35">
      <c r="A473" s="43"/>
      <c r="B47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7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7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7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7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74" spans="1:6" ht="18.75" customHeight="1" x14ac:dyDescent="0.3">
      <c r="A474" s="44" t="s">
        <v>294</v>
      </c>
      <c r="B47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7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7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7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7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75" spans="1:6" ht="18.75" customHeight="1" thickBot="1" x14ac:dyDescent="0.35">
      <c r="A475" s="45"/>
      <c r="B47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7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7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7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7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76" spans="1:6" ht="18.75" customHeight="1" x14ac:dyDescent="0.3">
      <c r="A476" s="38" t="s">
        <v>295</v>
      </c>
      <c r="B47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7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7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7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7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77" spans="1:6" ht="18.75" customHeight="1" thickBot="1" x14ac:dyDescent="0.35">
      <c r="A477" s="39"/>
      <c r="B47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7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7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7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7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78" spans="1:6" ht="18.75" customHeight="1" x14ac:dyDescent="0.3">
      <c r="A478" s="40" t="s">
        <v>296</v>
      </c>
      <c r="B47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7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7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7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7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79" spans="1:6" ht="18.75" customHeight="1" thickBot="1" x14ac:dyDescent="0.35">
      <c r="A479" s="41"/>
      <c r="B47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7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7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7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7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80" spans="1:6" ht="18.75" customHeight="1" x14ac:dyDescent="0.3">
      <c r="A480" s="42" t="s">
        <v>297</v>
      </c>
      <c r="B48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8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8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8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8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81" spans="1:6" ht="18.75" customHeight="1" thickBot="1" x14ac:dyDescent="0.35">
      <c r="A481" s="43"/>
      <c r="B48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8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8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8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8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82" spans="1:6" ht="18.75" customHeight="1" x14ac:dyDescent="0.3">
      <c r="A482" s="44" t="s">
        <v>298</v>
      </c>
      <c r="B48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8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8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8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8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83" spans="1:6" ht="18.75" customHeight="1" thickBot="1" x14ac:dyDescent="0.35">
      <c r="A483" s="45"/>
      <c r="B48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8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8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8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8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84" spans="1:6" ht="18.75" customHeight="1" x14ac:dyDescent="0.3">
      <c r="A484" s="38" t="s">
        <v>299</v>
      </c>
      <c r="B48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8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8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8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8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85" spans="1:6" ht="18.75" customHeight="1" thickBot="1" x14ac:dyDescent="0.35">
      <c r="A485" s="39"/>
      <c r="B48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8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8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8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8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86" spans="1:6" ht="18.75" customHeight="1" x14ac:dyDescent="0.3">
      <c r="A486" s="40" t="s">
        <v>300</v>
      </c>
      <c r="B48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8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8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8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8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87" spans="1:6" ht="18.75" customHeight="1" thickBot="1" x14ac:dyDescent="0.35">
      <c r="A487" s="41"/>
      <c r="B48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8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8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8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8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88" spans="1:6" ht="18.75" customHeight="1" x14ac:dyDescent="0.3">
      <c r="A488" s="42" t="s">
        <v>301</v>
      </c>
      <c r="B48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8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8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8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8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89" spans="1:6" ht="18.75" customHeight="1" thickBot="1" x14ac:dyDescent="0.35">
      <c r="A489" s="43"/>
      <c r="B48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8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8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8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8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90" spans="1:6" ht="18.75" customHeight="1" x14ac:dyDescent="0.3">
      <c r="A490" s="44" t="s">
        <v>302</v>
      </c>
      <c r="B49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9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9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9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9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91" spans="1:6" ht="18.75" customHeight="1" thickBot="1" x14ac:dyDescent="0.35">
      <c r="A491" s="45"/>
      <c r="B49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9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9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9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9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92" spans="1:6" ht="18.75" customHeight="1" x14ac:dyDescent="0.3">
      <c r="A492" s="38" t="s">
        <v>303</v>
      </c>
      <c r="B49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9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9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9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9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93" spans="1:6" ht="18.75" customHeight="1" thickBot="1" x14ac:dyDescent="0.35">
      <c r="A493" s="39"/>
      <c r="B49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9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9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9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9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94" spans="1:6" ht="18.75" customHeight="1" x14ac:dyDescent="0.3">
      <c r="A494" s="40" t="s">
        <v>304</v>
      </c>
      <c r="B49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9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9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9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9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95" spans="1:6" ht="18.75" customHeight="1" thickBot="1" x14ac:dyDescent="0.35">
      <c r="A495" s="41"/>
      <c r="B49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9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9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9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9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96" spans="1:6" ht="18.75" customHeight="1" x14ac:dyDescent="0.3">
      <c r="A496" s="42" t="s">
        <v>305</v>
      </c>
      <c r="B49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9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9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9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9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97" spans="1:6" ht="18.75" customHeight="1" thickBot="1" x14ac:dyDescent="0.35">
      <c r="A497" s="43"/>
      <c r="B49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9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9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9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9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498" spans="1:6" ht="18.75" customHeight="1" x14ac:dyDescent="0.3">
      <c r="A498" s="44" t="s">
        <v>306</v>
      </c>
      <c r="B49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49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49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49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49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499" spans="1:6" ht="18.75" customHeight="1" thickBot="1" x14ac:dyDescent="0.35">
      <c r="A499" s="45"/>
      <c r="B49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49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49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49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49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00" spans="1:6" ht="18.75" customHeight="1" x14ac:dyDescent="0.3">
      <c r="A500" s="38" t="s">
        <v>307</v>
      </c>
      <c r="B50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0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0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0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0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01" spans="1:6" ht="18.75" customHeight="1" thickBot="1" x14ac:dyDescent="0.35">
      <c r="A501" s="39"/>
      <c r="B50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0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0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0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0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02" spans="1:6" ht="18.75" customHeight="1" x14ac:dyDescent="0.3">
      <c r="A502" s="40" t="s">
        <v>308</v>
      </c>
      <c r="B50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0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0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0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0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03" spans="1:6" ht="18.75" customHeight="1" thickBot="1" x14ac:dyDescent="0.35">
      <c r="A503" s="41"/>
      <c r="B50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0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0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0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0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04" spans="1:6" ht="18.75" customHeight="1" x14ac:dyDescent="0.3">
      <c r="A504" s="42" t="s">
        <v>309</v>
      </c>
      <c r="B50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0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0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0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0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05" spans="1:6" ht="18.75" customHeight="1" thickBot="1" x14ac:dyDescent="0.35">
      <c r="A505" s="43"/>
      <c r="B50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0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0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0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0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06" spans="1:6" ht="18.75" customHeight="1" x14ac:dyDescent="0.3">
      <c r="A506" s="44" t="s">
        <v>310</v>
      </c>
      <c r="B50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0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0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0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0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07" spans="1:6" ht="18.75" customHeight="1" thickBot="1" x14ac:dyDescent="0.35">
      <c r="A507" s="45"/>
      <c r="B50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0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0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0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0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08" spans="1:6" ht="18.75" customHeight="1" x14ac:dyDescent="0.3">
      <c r="A508" s="38" t="s">
        <v>311</v>
      </c>
      <c r="B50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0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0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0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0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09" spans="1:6" ht="18.75" customHeight="1" thickBot="1" x14ac:dyDescent="0.35">
      <c r="A509" s="39"/>
      <c r="B50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0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0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0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0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10" spans="1:6" ht="18.75" customHeight="1" x14ac:dyDescent="0.3">
      <c r="A510" s="40" t="s">
        <v>312</v>
      </c>
      <c r="B51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1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1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1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1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11" spans="1:6" ht="18.75" customHeight="1" thickBot="1" x14ac:dyDescent="0.35">
      <c r="A511" s="41"/>
      <c r="B51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1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1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1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1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12" spans="1:6" ht="18.75" customHeight="1" x14ac:dyDescent="0.3">
      <c r="A512" s="42" t="s">
        <v>313</v>
      </c>
      <c r="B51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1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1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1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1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13" spans="1:6" ht="18.75" customHeight="1" thickBot="1" x14ac:dyDescent="0.35">
      <c r="A513" s="43"/>
      <c r="B51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1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1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1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1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14" spans="1:6" ht="18.75" customHeight="1" x14ac:dyDescent="0.3">
      <c r="A514" s="44" t="s">
        <v>314</v>
      </c>
      <c r="B51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1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1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1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1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15" spans="1:6" ht="18.75" customHeight="1" thickBot="1" x14ac:dyDescent="0.35">
      <c r="A515" s="45"/>
      <c r="B51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1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1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1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1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16" spans="1:6" ht="18.75" customHeight="1" x14ac:dyDescent="0.3">
      <c r="A516" s="38" t="s">
        <v>315</v>
      </c>
      <c r="B51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1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1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1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1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17" spans="1:6" ht="18.75" customHeight="1" thickBot="1" x14ac:dyDescent="0.35">
      <c r="A517" s="39"/>
      <c r="B51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1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1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1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1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18" spans="1:6" ht="18.75" customHeight="1" x14ac:dyDescent="0.3">
      <c r="A518" s="40" t="s">
        <v>316</v>
      </c>
      <c r="B51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1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1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1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1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19" spans="1:6" ht="18.75" customHeight="1" thickBot="1" x14ac:dyDescent="0.35">
      <c r="A519" s="41"/>
      <c r="B51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1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1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1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1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20" spans="1:6" ht="18.75" customHeight="1" x14ac:dyDescent="0.3">
      <c r="A520" s="42" t="s">
        <v>317</v>
      </c>
      <c r="B52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2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2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2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2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21" spans="1:6" ht="18.75" customHeight="1" thickBot="1" x14ac:dyDescent="0.35">
      <c r="A521" s="43"/>
      <c r="B52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2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2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2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2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22" spans="1:6" ht="18.75" customHeight="1" x14ac:dyDescent="0.3">
      <c r="A522" s="44" t="s">
        <v>318</v>
      </c>
      <c r="B52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2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2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2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2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23" spans="1:6" ht="18.75" customHeight="1" thickBot="1" x14ac:dyDescent="0.35">
      <c r="A523" s="45"/>
      <c r="B52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2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2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2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2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24" spans="1:6" ht="18.75" customHeight="1" x14ac:dyDescent="0.3">
      <c r="A524" s="38" t="s">
        <v>319</v>
      </c>
      <c r="B52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2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2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2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2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25" spans="1:6" ht="18.75" customHeight="1" thickBot="1" x14ac:dyDescent="0.35">
      <c r="A525" s="39"/>
      <c r="B52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2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2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2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2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26" spans="1:6" ht="18.75" customHeight="1" x14ac:dyDescent="0.3">
      <c r="A526" s="40" t="s">
        <v>320</v>
      </c>
      <c r="B52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2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2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2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2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27" spans="1:6" ht="18.75" customHeight="1" thickBot="1" x14ac:dyDescent="0.35">
      <c r="A527" s="41"/>
      <c r="B52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2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2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2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2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28" spans="1:6" ht="18.75" customHeight="1" x14ac:dyDescent="0.3">
      <c r="A528" s="42" t="s">
        <v>321</v>
      </c>
      <c r="B52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2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2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2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2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29" spans="1:6" ht="18.75" customHeight="1" thickBot="1" x14ac:dyDescent="0.35">
      <c r="A529" s="43"/>
      <c r="B52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2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2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2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2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30" spans="1:6" ht="18.75" customHeight="1" x14ac:dyDescent="0.3">
      <c r="A530" s="44" t="s">
        <v>322</v>
      </c>
      <c r="B53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3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3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3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3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31" spans="1:6" ht="18.75" customHeight="1" thickBot="1" x14ac:dyDescent="0.35">
      <c r="A531" s="45"/>
      <c r="B53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3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3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3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3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32" spans="1:6" ht="18.75" customHeight="1" x14ac:dyDescent="0.3">
      <c r="A532" s="38" t="s">
        <v>323</v>
      </c>
      <c r="B53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3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3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3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3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33" spans="1:6" ht="18.75" customHeight="1" thickBot="1" x14ac:dyDescent="0.35">
      <c r="A533" s="39"/>
      <c r="B53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3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3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3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3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34" spans="1:6" ht="18.75" customHeight="1" x14ac:dyDescent="0.3">
      <c r="A534" s="40" t="s">
        <v>324</v>
      </c>
      <c r="B53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3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3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3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3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35" spans="1:6" ht="18.75" customHeight="1" thickBot="1" x14ac:dyDescent="0.35">
      <c r="A535" s="41"/>
      <c r="B53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3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3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3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3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36" spans="1:6" ht="18.75" customHeight="1" x14ac:dyDescent="0.3">
      <c r="A536" s="42" t="s">
        <v>325</v>
      </c>
      <c r="B536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36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36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36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36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37" spans="1:6" ht="18.75" customHeight="1" thickBot="1" x14ac:dyDescent="0.35">
      <c r="A537" s="43"/>
      <c r="B537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37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37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37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37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38" spans="1:6" ht="18.75" customHeight="1" x14ac:dyDescent="0.3">
      <c r="A538" s="44" t="s">
        <v>326</v>
      </c>
      <c r="B538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38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38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38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38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39" spans="1:6" ht="18.75" customHeight="1" thickBot="1" x14ac:dyDescent="0.35">
      <c r="A539" s="45"/>
      <c r="B539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39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39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39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39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40" spans="1:6" ht="18.75" customHeight="1" x14ac:dyDescent="0.3">
      <c r="A540" s="38" t="s">
        <v>327</v>
      </c>
      <c r="B540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40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40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40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40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41" spans="1:6" ht="18.75" customHeight="1" thickBot="1" x14ac:dyDescent="0.35">
      <c r="A541" s="39"/>
      <c r="B541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41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41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41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41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42" spans="1:6" ht="18.75" customHeight="1" x14ac:dyDescent="0.3">
      <c r="A542" s="40" t="s">
        <v>328</v>
      </c>
      <c r="B542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42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42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42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42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43" spans="1:6" ht="18.75" customHeight="1" thickBot="1" x14ac:dyDescent="0.35">
      <c r="A543" s="41"/>
      <c r="B543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43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43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43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43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44" spans="1:6" ht="18.75" customHeight="1" x14ac:dyDescent="0.3">
      <c r="A544" s="42" t="s">
        <v>329</v>
      </c>
      <c r="B544" s="17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C544" s="18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D544" s="19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E544" s="20" t="str">
        <f>_xlfn.IFNA(IF(COLUMN()-2&lt;VLOOKUP(ROUND((ROW()-3)/2,0)&amp;"1",'Tabla de la cancion'!$A$2:$C$271,3,FALSE),_xlfn.IFNA(VLOOKUP(ROUND((ROW()-3)/2,0)&amp;COLUMN()-1,'Tabla de la cancion'!$A$2:$E$271,5,FALSE),"'"),""),"")</f>
        <v/>
      </c>
      <c r="F544" s="25" t="str">
        <f>_xlfn.IFNA(IF(COLUMN()-2&lt;VLOOKUP(ROUND((ROW()-3)/2,0)&amp;"1",'Tabla de la cancion'!$A$2:$C$271,3,FALSE),_xlfn.IFNA(VLOOKUP(ROUND((ROW()-3)/2,0)&amp;COLUMN()-1,'Tabla de la cancion'!$A$2:$E$271,5,FALSE),"'"),""),"")</f>
        <v/>
      </c>
    </row>
    <row r="545" spans="1:6" ht="18.75" customHeight="1" thickBot="1" x14ac:dyDescent="0.35">
      <c r="A545" s="43"/>
      <c r="B545" s="21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C545" s="22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D545" s="23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E545" s="24" t="str">
        <f>_xlfn.IFNA(IF(COLUMN()-2&lt;VLOOKUP(ROUND((ROW()-3)/2,0)&amp;"1",'Tabla de la cancion'!$A$2:$C$271,3,FALSE),_xlfn.IFNA(VLOOKUP(ROUND((ROW()-3)/2,0)&amp;COLUMN()-1,'Tabla de la cancion'!$A$2:$D$271,4,FALSE),"'"),""),"")</f>
        <v/>
      </c>
      <c r="F545" s="26" t="str">
        <f>_xlfn.IFNA(IF(COLUMN()-2&lt;VLOOKUP(ROUND((ROW()-3)/2,0)&amp;"1",'Tabla de la cancion'!$A$2:$C$271,3,FALSE),_xlfn.IFNA(VLOOKUP(ROUND((ROW()-3)/2,0)&amp;COLUMN()-1,'Tabla de la cancion'!$A$2:$D$271,4,FALSE),"'"),""),"")</f>
        <v/>
      </c>
    </row>
    <row r="546" spans="1:6" ht="18.75" customHeight="1" x14ac:dyDescent="0.25">
      <c r="A546" s="51"/>
    </row>
    <row r="547" spans="1:6" ht="18.75" customHeight="1" x14ac:dyDescent="0.25">
      <c r="A547" s="51"/>
    </row>
    <row r="548" spans="1:6" ht="18.75" customHeight="1" x14ac:dyDescent="0.25">
      <c r="A548" s="51"/>
    </row>
    <row r="549" spans="1:6" ht="18.75" customHeight="1" x14ac:dyDescent="0.25">
      <c r="A549" s="51"/>
    </row>
    <row r="550" spans="1:6" ht="18.75" customHeight="1" x14ac:dyDescent="0.25">
      <c r="A550" s="51"/>
    </row>
    <row r="551" spans="1:6" ht="18.75" customHeight="1" x14ac:dyDescent="0.25">
      <c r="A551" s="51"/>
    </row>
    <row r="552" spans="1:6" ht="18.75" customHeight="1" x14ac:dyDescent="0.25">
      <c r="A552" s="51"/>
    </row>
    <row r="553" spans="1:6" ht="18.75" customHeight="1" x14ac:dyDescent="0.25">
      <c r="A553" s="51"/>
    </row>
    <row r="554" spans="1:6" ht="18.75" customHeight="1" x14ac:dyDescent="0.25">
      <c r="A554" s="51"/>
    </row>
    <row r="555" spans="1:6" ht="18.75" customHeight="1" x14ac:dyDescent="0.25">
      <c r="A555" s="51"/>
    </row>
    <row r="556" spans="1:6" ht="18.75" customHeight="1" x14ac:dyDescent="0.25">
      <c r="A556" s="51"/>
    </row>
    <row r="557" spans="1:6" ht="18.75" customHeight="1" x14ac:dyDescent="0.25">
      <c r="A557" s="51"/>
    </row>
    <row r="558" spans="1:6" ht="18.75" customHeight="1" x14ac:dyDescent="0.25">
      <c r="A558" s="51"/>
    </row>
    <row r="559" spans="1:6" ht="18.75" customHeight="1" x14ac:dyDescent="0.25">
      <c r="A559" s="51"/>
    </row>
    <row r="560" spans="1:6" ht="18.75" customHeight="1" x14ac:dyDescent="0.25">
      <c r="A560" s="51"/>
    </row>
    <row r="561" spans="1:1" ht="18.75" customHeight="1" x14ac:dyDescent="0.25">
      <c r="A561" s="51"/>
    </row>
    <row r="562" spans="1:1" ht="18.75" customHeight="1" x14ac:dyDescent="0.25">
      <c r="A562" s="51"/>
    </row>
    <row r="563" spans="1:1" ht="18.75" customHeight="1" x14ac:dyDescent="0.25">
      <c r="A563" s="51"/>
    </row>
    <row r="564" spans="1:1" ht="18.75" customHeight="1" x14ac:dyDescent="0.25">
      <c r="A564" s="51"/>
    </row>
    <row r="565" spans="1:1" ht="18.75" customHeight="1" x14ac:dyDescent="0.25">
      <c r="A565" s="51"/>
    </row>
    <row r="566" spans="1:1" ht="18.75" customHeight="1" x14ac:dyDescent="0.25">
      <c r="A566" s="51"/>
    </row>
    <row r="567" spans="1:1" ht="18.75" customHeight="1" x14ac:dyDescent="0.25">
      <c r="A567" s="51"/>
    </row>
    <row r="568" spans="1:1" ht="18.75" customHeight="1" x14ac:dyDescent="0.25">
      <c r="A568" s="51"/>
    </row>
    <row r="569" spans="1:1" ht="18.75" customHeight="1" x14ac:dyDescent="0.25">
      <c r="A569" s="51"/>
    </row>
    <row r="570" spans="1:1" ht="18.75" customHeight="1" x14ac:dyDescent="0.25">
      <c r="A570" s="51"/>
    </row>
    <row r="571" spans="1:1" ht="18.75" customHeight="1" x14ac:dyDescent="0.25">
      <c r="A571" s="51"/>
    </row>
    <row r="572" spans="1:1" ht="18.75" customHeight="1" x14ac:dyDescent="0.25">
      <c r="A572" s="51"/>
    </row>
    <row r="573" spans="1:1" ht="18.75" customHeight="1" x14ac:dyDescent="0.25">
      <c r="A573" s="51"/>
    </row>
    <row r="574" spans="1:1" ht="18.75" customHeight="1" x14ac:dyDescent="0.25">
      <c r="A574" s="51"/>
    </row>
    <row r="575" spans="1:1" ht="18.75" customHeight="1" x14ac:dyDescent="0.25">
      <c r="A575" s="51"/>
    </row>
    <row r="576" spans="1:1" ht="18.75" customHeight="1" x14ac:dyDescent="0.25">
      <c r="A576" s="51"/>
    </row>
    <row r="577" spans="1:1" ht="18.75" customHeight="1" x14ac:dyDescent="0.25">
      <c r="A577" s="51"/>
    </row>
    <row r="578" spans="1:1" ht="18.75" customHeight="1" x14ac:dyDescent="0.25">
      <c r="A578" s="51"/>
    </row>
    <row r="579" spans="1:1" ht="18.75" customHeight="1" x14ac:dyDescent="0.25">
      <c r="A579" s="51"/>
    </row>
    <row r="580" spans="1:1" ht="18.75" customHeight="1" x14ac:dyDescent="0.25">
      <c r="A580" s="51"/>
    </row>
    <row r="581" spans="1:1" ht="18.75" customHeight="1" x14ac:dyDescent="0.25">
      <c r="A581" s="51"/>
    </row>
    <row r="582" spans="1:1" ht="18.75" customHeight="1" x14ac:dyDescent="0.25">
      <c r="A582" s="51"/>
    </row>
    <row r="583" spans="1:1" ht="18.75" customHeight="1" x14ac:dyDescent="0.25">
      <c r="A583" s="51"/>
    </row>
    <row r="584" spans="1:1" ht="18.75" customHeight="1" x14ac:dyDescent="0.25">
      <c r="A584" s="51"/>
    </row>
    <row r="585" spans="1:1" ht="18.75" customHeight="1" x14ac:dyDescent="0.25">
      <c r="A585" s="51"/>
    </row>
    <row r="586" spans="1:1" ht="18.75" customHeight="1" x14ac:dyDescent="0.25">
      <c r="A586" s="51"/>
    </row>
    <row r="587" spans="1:1" ht="18.75" customHeight="1" x14ac:dyDescent="0.25">
      <c r="A587" s="51"/>
    </row>
    <row r="588" spans="1:1" ht="18.75" customHeight="1" x14ac:dyDescent="0.25">
      <c r="A588" s="51"/>
    </row>
    <row r="589" spans="1:1" ht="18.75" customHeight="1" x14ac:dyDescent="0.25">
      <c r="A589" s="51"/>
    </row>
    <row r="590" spans="1:1" ht="18.75" customHeight="1" x14ac:dyDescent="0.25">
      <c r="A590" s="51"/>
    </row>
    <row r="591" spans="1:1" ht="18.75" customHeight="1" x14ac:dyDescent="0.25">
      <c r="A591" s="51"/>
    </row>
    <row r="592" spans="1:1" ht="18.75" customHeight="1" x14ac:dyDescent="0.25">
      <c r="A592" s="51"/>
    </row>
    <row r="593" spans="1:1" ht="18.75" customHeight="1" x14ac:dyDescent="0.25">
      <c r="A593" s="51"/>
    </row>
    <row r="594" spans="1:1" ht="18.75" customHeight="1" x14ac:dyDescent="0.25">
      <c r="A594" s="51"/>
    </row>
    <row r="595" spans="1:1" ht="18.75" customHeight="1" x14ac:dyDescent="0.25">
      <c r="A595" s="51"/>
    </row>
    <row r="596" spans="1:1" ht="18.75" customHeight="1" x14ac:dyDescent="0.25">
      <c r="A596" s="51"/>
    </row>
    <row r="597" spans="1:1" ht="18.75" customHeight="1" x14ac:dyDescent="0.25">
      <c r="A597" s="51"/>
    </row>
    <row r="598" spans="1:1" ht="18.75" customHeight="1" x14ac:dyDescent="0.25">
      <c r="A598" s="51"/>
    </row>
    <row r="599" spans="1:1" ht="18.75" customHeight="1" x14ac:dyDescent="0.25">
      <c r="A599" s="51"/>
    </row>
    <row r="600" spans="1:1" ht="18.75" customHeight="1" x14ac:dyDescent="0.25">
      <c r="A600" s="51"/>
    </row>
    <row r="601" spans="1:1" ht="18.75" customHeight="1" x14ac:dyDescent="0.25">
      <c r="A601" s="51"/>
    </row>
    <row r="602" spans="1:1" ht="18.75" customHeight="1" x14ac:dyDescent="0.25">
      <c r="A602" s="51"/>
    </row>
    <row r="603" spans="1:1" ht="18.75" customHeight="1" x14ac:dyDescent="0.25">
      <c r="A603" s="51"/>
    </row>
    <row r="604" spans="1:1" ht="18.75" customHeight="1" x14ac:dyDescent="0.25">
      <c r="A604" s="51"/>
    </row>
    <row r="605" spans="1:1" ht="18.75" customHeight="1" x14ac:dyDescent="0.25">
      <c r="A605" s="51"/>
    </row>
    <row r="606" spans="1:1" ht="18.75" customHeight="1" x14ac:dyDescent="0.25">
      <c r="A606" s="51"/>
    </row>
    <row r="607" spans="1:1" ht="18.75" customHeight="1" x14ac:dyDescent="0.25">
      <c r="A607" s="51"/>
    </row>
    <row r="608" spans="1:1" ht="18.75" customHeight="1" x14ac:dyDescent="0.25">
      <c r="A608" s="51"/>
    </row>
    <row r="609" spans="1:1" ht="18.75" customHeight="1" x14ac:dyDescent="0.25">
      <c r="A609" s="51"/>
    </row>
    <row r="610" spans="1:1" ht="18.75" customHeight="1" x14ac:dyDescent="0.25">
      <c r="A610" s="51"/>
    </row>
    <row r="611" spans="1:1" ht="18.75" customHeight="1" x14ac:dyDescent="0.25">
      <c r="A611" s="51"/>
    </row>
    <row r="612" spans="1:1" ht="18.75" customHeight="1" x14ac:dyDescent="0.25">
      <c r="A612" s="51"/>
    </row>
    <row r="613" spans="1:1" ht="18.75" customHeight="1" x14ac:dyDescent="0.25">
      <c r="A613" s="51"/>
    </row>
    <row r="614" spans="1:1" ht="18.75" customHeight="1" x14ac:dyDescent="0.25">
      <c r="A614" s="51"/>
    </row>
    <row r="615" spans="1:1" ht="18.75" customHeight="1" x14ac:dyDescent="0.25">
      <c r="A615" s="51"/>
    </row>
    <row r="616" spans="1:1" ht="18.75" customHeight="1" x14ac:dyDescent="0.25">
      <c r="A616" s="51"/>
    </row>
    <row r="617" spans="1:1" ht="18.75" customHeight="1" x14ac:dyDescent="0.25">
      <c r="A617" s="51"/>
    </row>
    <row r="618" spans="1:1" ht="18.75" customHeight="1" x14ac:dyDescent="0.25">
      <c r="A618" s="51"/>
    </row>
    <row r="619" spans="1:1" ht="18.75" customHeight="1" x14ac:dyDescent="0.25">
      <c r="A619" s="51"/>
    </row>
    <row r="620" spans="1:1" ht="18.75" customHeight="1" x14ac:dyDescent="0.25">
      <c r="A620" s="51"/>
    </row>
    <row r="621" spans="1:1" ht="18.75" customHeight="1" x14ac:dyDescent="0.25">
      <c r="A621" s="51"/>
    </row>
    <row r="622" spans="1:1" ht="18.75" customHeight="1" x14ac:dyDescent="0.25">
      <c r="A622" s="51"/>
    </row>
    <row r="623" spans="1:1" ht="18.75" customHeight="1" x14ac:dyDescent="0.25">
      <c r="A623" s="51"/>
    </row>
    <row r="624" spans="1:1" ht="18.75" customHeight="1" x14ac:dyDescent="0.25">
      <c r="A624" s="51"/>
    </row>
    <row r="625" spans="1:1" ht="18.75" customHeight="1" x14ac:dyDescent="0.25">
      <c r="A625" s="51"/>
    </row>
    <row r="626" spans="1:1" ht="18.75" customHeight="1" x14ac:dyDescent="0.25">
      <c r="A626" s="51"/>
    </row>
    <row r="627" spans="1:1" ht="18.75" customHeight="1" x14ac:dyDescent="0.25">
      <c r="A627" s="51"/>
    </row>
    <row r="628" spans="1:1" ht="18.75" customHeight="1" x14ac:dyDescent="0.25">
      <c r="A628" s="51"/>
    </row>
    <row r="629" spans="1:1" ht="18.75" customHeight="1" x14ac:dyDescent="0.25">
      <c r="A629" s="51"/>
    </row>
    <row r="630" spans="1:1" ht="18.75" customHeight="1" x14ac:dyDescent="0.25">
      <c r="A630" s="51"/>
    </row>
    <row r="631" spans="1:1" ht="18.75" customHeight="1" x14ac:dyDescent="0.25">
      <c r="A631" s="51"/>
    </row>
    <row r="632" spans="1:1" ht="18.75" customHeight="1" x14ac:dyDescent="0.25">
      <c r="A632" s="51"/>
    </row>
    <row r="633" spans="1:1" ht="18.75" customHeight="1" x14ac:dyDescent="0.25">
      <c r="A633" s="51"/>
    </row>
    <row r="634" spans="1:1" ht="18.75" customHeight="1" x14ac:dyDescent="0.25">
      <c r="A634" s="51"/>
    </row>
    <row r="635" spans="1:1" ht="18.75" customHeight="1" x14ac:dyDescent="0.25">
      <c r="A635" s="51"/>
    </row>
    <row r="636" spans="1:1" ht="18.75" customHeight="1" x14ac:dyDescent="0.25">
      <c r="A636" s="51"/>
    </row>
    <row r="637" spans="1:1" ht="18.75" customHeight="1" x14ac:dyDescent="0.25">
      <c r="A637" s="51"/>
    </row>
    <row r="638" spans="1:1" ht="18.75" customHeight="1" x14ac:dyDescent="0.25">
      <c r="A638" s="51"/>
    </row>
    <row r="639" spans="1:1" ht="18.75" customHeight="1" x14ac:dyDescent="0.25">
      <c r="A639" s="51"/>
    </row>
    <row r="640" spans="1:1" ht="18.75" customHeight="1" x14ac:dyDescent="0.25">
      <c r="A640" s="51"/>
    </row>
    <row r="641" spans="1:1" ht="18.75" customHeight="1" x14ac:dyDescent="0.25">
      <c r="A641" s="51"/>
    </row>
    <row r="642" spans="1:1" ht="18.75" customHeight="1" x14ac:dyDescent="0.25">
      <c r="A642" s="51"/>
    </row>
    <row r="643" spans="1:1" ht="18.75" customHeight="1" x14ac:dyDescent="0.25">
      <c r="A643" s="51"/>
    </row>
    <row r="644" spans="1:1" ht="18.75" customHeight="1" x14ac:dyDescent="0.25">
      <c r="A644" s="51"/>
    </row>
    <row r="645" spans="1:1" ht="18.75" customHeight="1" x14ac:dyDescent="0.25">
      <c r="A645" s="51"/>
    </row>
    <row r="646" spans="1:1" ht="18.75" customHeight="1" x14ac:dyDescent="0.25">
      <c r="A646" s="51"/>
    </row>
    <row r="647" spans="1:1" ht="18.75" customHeight="1" x14ac:dyDescent="0.25">
      <c r="A647" s="51"/>
    </row>
    <row r="648" spans="1:1" ht="18.75" customHeight="1" x14ac:dyDescent="0.25">
      <c r="A648" s="51"/>
    </row>
    <row r="649" spans="1:1" ht="18.75" customHeight="1" x14ac:dyDescent="0.25">
      <c r="A649" s="51"/>
    </row>
    <row r="650" spans="1:1" ht="18.75" customHeight="1" x14ac:dyDescent="0.25">
      <c r="A650" s="51"/>
    </row>
    <row r="651" spans="1:1" ht="18.75" customHeight="1" x14ac:dyDescent="0.25">
      <c r="A651" s="51"/>
    </row>
    <row r="652" spans="1:1" ht="18.75" customHeight="1" x14ac:dyDescent="0.25">
      <c r="A652" s="51"/>
    </row>
    <row r="653" spans="1:1" ht="18.75" customHeight="1" x14ac:dyDescent="0.25">
      <c r="A653" s="51"/>
    </row>
    <row r="654" spans="1:1" ht="18.75" customHeight="1" x14ac:dyDescent="0.25">
      <c r="A654" s="51"/>
    </row>
    <row r="655" spans="1:1" ht="18.75" customHeight="1" x14ac:dyDescent="0.25">
      <c r="A655" s="51"/>
    </row>
    <row r="656" spans="1:1" ht="18.75" customHeight="1" x14ac:dyDescent="0.25">
      <c r="A656" s="51"/>
    </row>
    <row r="657" spans="1:1" ht="18.75" customHeight="1" x14ac:dyDescent="0.25">
      <c r="A657" s="51"/>
    </row>
    <row r="658" spans="1:1" ht="18.75" customHeight="1" x14ac:dyDescent="0.25">
      <c r="A658" s="51"/>
    </row>
    <row r="659" spans="1:1" ht="18.75" customHeight="1" x14ac:dyDescent="0.25">
      <c r="A659" s="51"/>
    </row>
    <row r="660" spans="1:1" ht="18.75" customHeight="1" x14ac:dyDescent="0.25">
      <c r="A660" s="51"/>
    </row>
    <row r="661" spans="1:1" ht="18.75" customHeight="1" x14ac:dyDescent="0.25">
      <c r="A661" s="51"/>
    </row>
    <row r="662" spans="1:1" ht="18.75" customHeight="1" x14ac:dyDescent="0.25">
      <c r="A662" s="51"/>
    </row>
    <row r="663" spans="1:1" ht="18.75" customHeight="1" x14ac:dyDescent="0.25">
      <c r="A663" s="51"/>
    </row>
    <row r="664" spans="1:1" ht="18.75" customHeight="1" x14ac:dyDescent="0.25">
      <c r="A664" s="51"/>
    </row>
    <row r="665" spans="1:1" ht="18.75" customHeight="1" x14ac:dyDescent="0.25">
      <c r="A665" s="51"/>
    </row>
    <row r="666" spans="1:1" ht="18.75" customHeight="1" x14ac:dyDescent="0.25">
      <c r="A666" s="51"/>
    </row>
    <row r="667" spans="1:1" ht="18.75" customHeight="1" x14ac:dyDescent="0.25">
      <c r="A667" s="51"/>
    </row>
    <row r="668" spans="1:1" ht="18.75" customHeight="1" x14ac:dyDescent="0.25">
      <c r="A668" s="51"/>
    </row>
    <row r="669" spans="1:1" ht="18.75" customHeight="1" x14ac:dyDescent="0.25">
      <c r="A669" s="51"/>
    </row>
    <row r="670" spans="1:1" ht="18.75" customHeight="1" x14ac:dyDescent="0.25">
      <c r="A670" s="51"/>
    </row>
    <row r="671" spans="1:1" ht="18.75" customHeight="1" x14ac:dyDescent="0.25">
      <c r="A671" s="51"/>
    </row>
    <row r="672" spans="1:1" ht="18.75" customHeight="1" x14ac:dyDescent="0.25">
      <c r="A672" s="51"/>
    </row>
    <row r="673" spans="1:1" ht="18.75" customHeight="1" x14ac:dyDescent="0.25">
      <c r="A673" s="51"/>
    </row>
    <row r="674" spans="1:1" ht="18.75" customHeight="1" x14ac:dyDescent="0.25">
      <c r="A674" s="51"/>
    </row>
    <row r="675" spans="1:1" ht="18.75" customHeight="1" x14ac:dyDescent="0.25">
      <c r="A675" s="51"/>
    </row>
    <row r="676" spans="1:1" ht="18.75" customHeight="1" x14ac:dyDescent="0.25">
      <c r="A676" s="51"/>
    </row>
    <row r="677" spans="1:1" ht="18.75" customHeight="1" x14ac:dyDescent="0.25">
      <c r="A677" s="51"/>
    </row>
    <row r="678" spans="1:1" ht="18.75" customHeight="1" x14ac:dyDescent="0.25">
      <c r="A678" s="51"/>
    </row>
    <row r="679" spans="1:1" ht="18.75" customHeight="1" x14ac:dyDescent="0.25">
      <c r="A679" s="51"/>
    </row>
    <row r="680" spans="1:1" ht="18.75" customHeight="1" x14ac:dyDescent="0.25">
      <c r="A680" s="51"/>
    </row>
    <row r="681" spans="1:1" ht="18.75" customHeight="1" x14ac:dyDescent="0.25">
      <c r="A681" s="51"/>
    </row>
    <row r="682" spans="1:1" ht="18.75" customHeight="1" x14ac:dyDescent="0.25">
      <c r="A682" s="51"/>
    </row>
    <row r="683" spans="1:1" ht="18.75" customHeight="1" x14ac:dyDescent="0.25">
      <c r="A683" s="51"/>
    </row>
    <row r="684" spans="1:1" ht="18.75" customHeight="1" x14ac:dyDescent="0.25">
      <c r="A684" s="51"/>
    </row>
    <row r="685" spans="1:1" ht="18.75" customHeight="1" x14ac:dyDescent="0.25">
      <c r="A685" s="51"/>
    </row>
    <row r="686" spans="1:1" ht="18.75" customHeight="1" x14ac:dyDescent="0.25">
      <c r="A686" s="51"/>
    </row>
    <row r="687" spans="1:1" ht="18.75" customHeight="1" x14ac:dyDescent="0.25">
      <c r="A687" s="51"/>
    </row>
    <row r="688" spans="1:1" ht="18.75" customHeight="1" x14ac:dyDescent="0.25">
      <c r="A688" s="51"/>
    </row>
    <row r="689" spans="1:1" ht="18.75" customHeight="1" x14ac:dyDescent="0.25">
      <c r="A689" s="51"/>
    </row>
    <row r="690" spans="1:1" ht="18.75" customHeight="1" x14ac:dyDescent="0.25">
      <c r="A690" s="51"/>
    </row>
    <row r="691" spans="1:1" ht="18.75" customHeight="1" x14ac:dyDescent="0.25">
      <c r="A691" s="51"/>
    </row>
    <row r="692" spans="1:1" ht="18.75" customHeight="1" x14ac:dyDescent="0.25">
      <c r="A692" s="51"/>
    </row>
    <row r="693" spans="1:1" ht="18.75" customHeight="1" x14ac:dyDescent="0.25">
      <c r="A693" s="51"/>
    </row>
    <row r="694" spans="1:1" ht="18.75" customHeight="1" x14ac:dyDescent="0.25">
      <c r="A694" s="51"/>
    </row>
    <row r="695" spans="1:1" ht="18.75" customHeight="1" x14ac:dyDescent="0.25">
      <c r="A695" s="51"/>
    </row>
    <row r="696" spans="1:1" ht="18.75" customHeight="1" x14ac:dyDescent="0.25">
      <c r="A696" s="51"/>
    </row>
    <row r="697" spans="1:1" ht="18.75" customHeight="1" x14ac:dyDescent="0.25">
      <c r="A697" s="51"/>
    </row>
    <row r="698" spans="1:1" ht="18.75" customHeight="1" x14ac:dyDescent="0.25">
      <c r="A698" s="51"/>
    </row>
    <row r="699" spans="1:1" ht="18.75" customHeight="1" x14ac:dyDescent="0.25">
      <c r="A699" s="51"/>
    </row>
    <row r="700" spans="1:1" ht="18.75" customHeight="1" x14ac:dyDescent="0.25">
      <c r="A700" s="51"/>
    </row>
    <row r="701" spans="1:1" ht="18.75" customHeight="1" x14ac:dyDescent="0.25">
      <c r="A701" s="51"/>
    </row>
    <row r="702" spans="1:1" ht="18.75" customHeight="1" x14ac:dyDescent="0.25">
      <c r="A702" s="51"/>
    </row>
    <row r="703" spans="1:1" ht="18.75" customHeight="1" x14ac:dyDescent="0.25">
      <c r="A703" s="51"/>
    </row>
    <row r="704" spans="1:1" ht="18.75" customHeight="1" x14ac:dyDescent="0.25">
      <c r="A704" s="51"/>
    </row>
    <row r="705" spans="1:1" ht="18.75" customHeight="1" x14ac:dyDescent="0.25">
      <c r="A705" s="51"/>
    </row>
    <row r="706" spans="1:1" ht="18.75" customHeight="1" x14ac:dyDescent="0.25">
      <c r="A706" s="51"/>
    </row>
    <row r="707" spans="1:1" ht="18.75" customHeight="1" x14ac:dyDescent="0.25">
      <c r="A707" s="51"/>
    </row>
    <row r="708" spans="1:1" ht="18.75" customHeight="1" x14ac:dyDescent="0.25">
      <c r="A708" s="51"/>
    </row>
    <row r="709" spans="1:1" ht="18.75" customHeight="1" x14ac:dyDescent="0.25">
      <c r="A709" s="51"/>
    </row>
    <row r="710" spans="1:1" ht="18.75" customHeight="1" x14ac:dyDescent="0.25">
      <c r="A710" s="51"/>
    </row>
    <row r="711" spans="1:1" ht="18.75" customHeight="1" x14ac:dyDescent="0.25">
      <c r="A711" s="51"/>
    </row>
    <row r="712" spans="1:1" ht="18.75" customHeight="1" x14ac:dyDescent="0.25">
      <c r="A712" s="51"/>
    </row>
    <row r="713" spans="1:1" ht="18.75" customHeight="1" x14ac:dyDescent="0.25">
      <c r="A713" s="51"/>
    </row>
    <row r="714" spans="1:1" ht="18.75" customHeight="1" x14ac:dyDescent="0.25">
      <c r="A714" s="51"/>
    </row>
    <row r="715" spans="1:1" ht="18.75" customHeight="1" x14ac:dyDescent="0.25">
      <c r="A715" s="51"/>
    </row>
    <row r="716" spans="1:1" ht="18.75" customHeight="1" x14ac:dyDescent="0.25">
      <c r="A716" s="51"/>
    </row>
    <row r="717" spans="1:1" ht="18.75" customHeight="1" x14ac:dyDescent="0.25">
      <c r="A717" s="51"/>
    </row>
    <row r="718" spans="1:1" ht="18.75" customHeight="1" x14ac:dyDescent="0.25">
      <c r="A718" s="51"/>
    </row>
    <row r="719" spans="1:1" ht="18.75" customHeight="1" x14ac:dyDescent="0.25">
      <c r="A719" s="51"/>
    </row>
    <row r="720" spans="1:1" ht="18.75" customHeight="1" x14ac:dyDescent="0.25">
      <c r="A720" s="51"/>
    </row>
    <row r="721" spans="1:1" ht="18.75" customHeight="1" x14ac:dyDescent="0.25">
      <c r="A721" s="51"/>
    </row>
    <row r="722" spans="1:1" ht="18.75" customHeight="1" x14ac:dyDescent="0.25">
      <c r="A722" s="51"/>
    </row>
    <row r="723" spans="1:1" ht="18.75" customHeight="1" x14ac:dyDescent="0.25">
      <c r="A723" s="51"/>
    </row>
    <row r="724" spans="1:1" ht="18.75" customHeight="1" x14ac:dyDescent="0.25">
      <c r="A724" s="51"/>
    </row>
    <row r="725" spans="1:1" ht="18.75" customHeight="1" x14ac:dyDescent="0.25">
      <c r="A725" s="51"/>
    </row>
    <row r="726" spans="1:1" ht="18.75" customHeight="1" x14ac:dyDescent="0.25">
      <c r="A726" s="51"/>
    </row>
    <row r="727" spans="1:1" ht="18.75" customHeight="1" x14ac:dyDescent="0.25">
      <c r="A727" s="51"/>
    </row>
    <row r="728" spans="1:1" ht="18.75" customHeight="1" x14ac:dyDescent="0.25">
      <c r="A728" s="51"/>
    </row>
    <row r="729" spans="1:1" ht="18.75" customHeight="1" x14ac:dyDescent="0.25">
      <c r="A729" s="51"/>
    </row>
    <row r="730" spans="1:1" ht="18.75" customHeight="1" x14ac:dyDescent="0.25">
      <c r="A730" s="51"/>
    </row>
    <row r="731" spans="1:1" ht="18.75" customHeight="1" x14ac:dyDescent="0.25">
      <c r="A731" s="51"/>
    </row>
    <row r="732" spans="1:1" ht="18.75" customHeight="1" x14ac:dyDescent="0.25">
      <c r="A732" s="51"/>
    </row>
    <row r="733" spans="1:1" ht="18.75" customHeight="1" x14ac:dyDescent="0.25">
      <c r="A733" s="51"/>
    </row>
    <row r="734" spans="1:1" ht="18.75" customHeight="1" x14ac:dyDescent="0.25">
      <c r="A734" s="51"/>
    </row>
    <row r="735" spans="1:1" ht="18.75" customHeight="1" x14ac:dyDescent="0.25">
      <c r="A735" s="51"/>
    </row>
    <row r="736" spans="1:1" ht="18.75" customHeight="1" x14ac:dyDescent="0.25">
      <c r="A736" s="51"/>
    </row>
    <row r="737" spans="1:1" ht="18.75" customHeight="1" x14ac:dyDescent="0.25">
      <c r="A737" s="51"/>
    </row>
    <row r="738" spans="1:1" ht="18.75" customHeight="1" x14ac:dyDescent="0.25">
      <c r="A738" s="51"/>
    </row>
    <row r="739" spans="1:1" ht="18.75" customHeight="1" x14ac:dyDescent="0.25">
      <c r="A739" s="51"/>
    </row>
    <row r="740" spans="1:1" ht="18.75" customHeight="1" x14ac:dyDescent="0.25">
      <c r="A740" s="51"/>
    </row>
    <row r="741" spans="1:1" ht="18.75" customHeight="1" x14ac:dyDescent="0.25">
      <c r="A741" s="51"/>
    </row>
    <row r="742" spans="1:1" ht="18.75" customHeight="1" x14ac:dyDescent="0.25">
      <c r="A742" s="51"/>
    </row>
    <row r="743" spans="1:1" ht="18.75" customHeight="1" x14ac:dyDescent="0.25">
      <c r="A743" s="51"/>
    </row>
    <row r="744" spans="1:1" ht="18.75" customHeight="1" x14ac:dyDescent="0.25">
      <c r="A744" s="51"/>
    </row>
    <row r="745" spans="1:1" ht="18.75" customHeight="1" x14ac:dyDescent="0.25">
      <c r="A745" s="51"/>
    </row>
    <row r="746" spans="1:1" ht="18.75" customHeight="1" x14ac:dyDescent="0.25">
      <c r="A746" s="51"/>
    </row>
    <row r="747" spans="1:1" ht="18.75" customHeight="1" x14ac:dyDescent="0.25">
      <c r="A747" s="51"/>
    </row>
    <row r="748" spans="1:1" ht="18.75" customHeight="1" x14ac:dyDescent="0.25">
      <c r="A748" s="51"/>
    </row>
    <row r="749" spans="1:1" ht="18.75" customHeight="1" x14ac:dyDescent="0.25">
      <c r="A749" s="51"/>
    </row>
    <row r="750" spans="1:1" ht="18.75" customHeight="1" x14ac:dyDescent="0.25">
      <c r="A750" s="51"/>
    </row>
    <row r="751" spans="1:1" ht="18.75" customHeight="1" x14ac:dyDescent="0.25">
      <c r="A751" s="51"/>
    </row>
    <row r="752" spans="1:1" ht="18.75" customHeight="1" x14ac:dyDescent="0.25">
      <c r="A752" s="51"/>
    </row>
    <row r="753" spans="1:1" ht="18.75" customHeight="1" x14ac:dyDescent="0.25">
      <c r="A753" s="51"/>
    </row>
    <row r="754" spans="1:1" ht="18.75" customHeight="1" x14ac:dyDescent="0.25">
      <c r="A754" s="51"/>
    </row>
    <row r="755" spans="1:1" ht="18.75" customHeight="1" x14ac:dyDescent="0.25">
      <c r="A755" s="51"/>
    </row>
    <row r="756" spans="1:1" ht="18.75" customHeight="1" x14ac:dyDescent="0.25">
      <c r="A756" s="51"/>
    </row>
    <row r="757" spans="1:1" ht="18.75" customHeight="1" x14ac:dyDescent="0.25">
      <c r="A757" s="51"/>
    </row>
    <row r="758" spans="1:1" ht="18.75" customHeight="1" x14ac:dyDescent="0.25">
      <c r="A758" s="51"/>
    </row>
    <row r="759" spans="1:1" ht="18.75" customHeight="1" x14ac:dyDescent="0.25">
      <c r="A759" s="51"/>
    </row>
    <row r="760" spans="1:1" ht="18.75" customHeight="1" x14ac:dyDescent="0.25">
      <c r="A760" s="51"/>
    </row>
    <row r="761" spans="1:1" ht="18.75" customHeight="1" x14ac:dyDescent="0.25">
      <c r="A761" s="51"/>
    </row>
    <row r="762" spans="1:1" ht="18.75" customHeight="1" x14ac:dyDescent="0.25">
      <c r="A762" s="51"/>
    </row>
    <row r="763" spans="1:1" ht="18.75" customHeight="1" x14ac:dyDescent="0.25">
      <c r="A763" s="51"/>
    </row>
    <row r="764" spans="1:1" ht="18.75" customHeight="1" x14ac:dyDescent="0.25">
      <c r="A764" s="51"/>
    </row>
    <row r="765" spans="1:1" ht="18.75" customHeight="1" x14ac:dyDescent="0.25">
      <c r="A765" s="51"/>
    </row>
    <row r="766" spans="1:1" ht="18.75" customHeight="1" x14ac:dyDescent="0.25">
      <c r="A766" s="51"/>
    </row>
    <row r="767" spans="1:1" ht="18.75" customHeight="1" x14ac:dyDescent="0.25">
      <c r="A767" s="51"/>
    </row>
    <row r="768" spans="1:1" ht="18.75" customHeight="1" x14ac:dyDescent="0.25">
      <c r="A768" s="51"/>
    </row>
    <row r="769" spans="1:1" ht="18.75" customHeight="1" x14ac:dyDescent="0.25">
      <c r="A769" s="51"/>
    </row>
    <row r="770" spans="1:1" ht="18.75" customHeight="1" x14ac:dyDescent="0.25">
      <c r="A770" s="51"/>
    </row>
    <row r="771" spans="1:1" ht="18.75" customHeight="1" x14ac:dyDescent="0.25">
      <c r="A771" s="51"/>
    </row>
    <row r="772" spans="1:1" ht="18.75" customHeight="1" x14ac:dyDescent="0.25">
      <c r="A772" s="51"/>
    </row>
    <row r="773" spans="1:1" ht="18.75" customHeight="1" x14ac:dyDescent="0.25">
      <c r="A773" s="51"/>
    </row>
    <row r="774" spans="1:1" ht="18.75" customHeight="1" x14ac:dyDescent="0.25">
      <c r="A774" s="51"/>
    </row>
    <row r="775" spans="1:1" ht="18.75" customHeight="1" x14ac:dyDescent="0.25">
      <c r="A775" s="51"/>
    </row>
    <row r="776" spans="1:1" ht="18.75" customHeight="1" x14ac:dyDescent="0.25">
      <c r="A776" s="51"/>
    </row>
    <row r="777" spans="1:1" ht="18.75" customHeight="1" x14ac:dyDescent="0.25">
      <c r="A777" s="51"/>
    </row>
    <row r="778" spans="1:1" ht="18.75" customHeight="1" x14ac:dyDescent="0.25">
      <c r="A778" s="51"/>
    </row>
    <row r="779" spans="1:1" ht="18.75" customHeight="1" x14ac:dyDescent="0.25">
      <c r="A779" s="51"/>
    </row>
    <row r="780" spans="1:1" ht="18.75" customHeight="1" x14ac:dyDescent="0.25">
      <c r="A780" s="51"/>
    </row>
    <row r="781" spans="1:1" ht="18.75" customHeight="1" x14ac:dyDescent="0.25">
      <c r="A781" s="51"/>
    </row>
    <row r="782" spans="1:1" ht="18.75" customHeight="1" x14ac:dyDescent="0.25">
      <c r="A782" s="51"/>
    </row>
    <row r="783" spans="1:1" ht="18.75" customHeight="1" x14ac:dyDescent="0.25">
      <c r="A783" s="51"/>
    </row>
    <row r="784" spans="1:1" ht="18.75" customHeight="1" x14ac:dyDescent="0.25">
      <c r="A784" s="51"/>
    </row>
    <row r="785" spans="1:1" ht="18.75" customHeight="1" x14ac:dyDescent="0.25">
      <c r="A785" s="51"/>
    </row>
    <row r="786" spans="1:1" ht="18.75" customHeight="1" x14ac:dyDescent="0.25">
      <c r="A786" s="51"/>
    </row>
    <row r="787" spans="1:1" ht="18.75" customHeight="1" x14ac:dyDescent="0.25">
      <c r="A787" s="51"/>
    </row>
    <row r="788" spans="1:1" ht="18.75" customHeight="1" x14ac:dyDescent="0.25">
      <c r="A788" s="51"/>
    </row>
    <row r="789" spans="1:1" ht="18.75" customHeight="1" x14ac:dyDescent="0.25">
      <c r="A789" s="51"/>
    </row>
    <row r="790" spans="1:1" ht="18.75" customHeight="1" x14ac:dyDescent="0.25">
      <c r="A790" s="51"/>
    </row>
    <row r="791" spans="1:1" ht="18.75" customHeight="1" x14ac:dyDescent="0.25">
      <c r="A791" s="51"/>
    </row>
    <row r="792" spans="1:1" ht="18.75" customHeight="1" x14ac:dyDescent="0.25">
      <c r="A792" s="51"/>
    </row>
    <row r="793" spans="1:1" ht="18.75" customHeight="1" x14ac:dyDescent="0.25">
      <c r="A793" s="51"/>
    </row>
    <row r="794" spans="1:1" ht="18.75" customHeight="1" x14ac:dyDescent="0.25">
      <c r="A794" s="51"/>
    </row>
    <row r="795" spans="1:1" ht="18.75" customHeight="1" x14ac:dyDescent="0.25">
      <c r="A795" s="51"/>
    </row>
    <row r="796" spans="1:1" ht="18.75" customHeight="1" x14ac:dyDescent="0.25">
      <c r="A796" s="51"/>
    </row>
    <row r="797" spans="1:1" ht="18.75" customHeight="1" x14ac:dyDescent="0.25">
      <c r="A797" s="51"/>
    </row>
    <row r="798" spans="1:1" ht="18.75" customHeight="1" x14ac:dyDescent="0.25">
      <c r="A798" s="51"/>
    </row>
    <row r="799" spans="1:1" ht="18.75" customHeight="1" x14ac:dyDescent="0.25">
      <c r="A799" s="51"/>
    </row>
    <row r="800" spans="1:1" ht="18.75" customHeight="1" x14ac:dyDescent="0.25">
      <c r="A800" s="51"/>
    </row>
    <row r="801" spans="1:1" ht="18.75" customHeight="1" x14ac:dyDescent="0.25">
      <c r="A801" s="51"/>
    </row>
    <row r="802" spans="1:1" ht="18.75" customHeight="1" x14ac:dyDescent="0.25">
      <c r="A802" s="51"/>
    </row>
    <row r="803" spans="1:1" ht="18.75" customHeight="1" x14ac:dyDescent="0.25">
      <c r="A803" s="51"/>
    </row>
    <row r="804" spans="1:1" ht="18.75" customHeight="1" x14ac:dyDescent="0.25">
      <c r="A804" s="51"/>
    </row>
    <row r="805" spans="1:1" ht="18.75" customHeight="1" x14ac:dyDescent="0.25">
      <c r="A805" s="51"/>
    </row>
    <row r="806" spans="1:1" ht="18.75" customHeight="1" x14ac:dyDescent="0.25">
      <c r="A806" s="51"/>
    </row>
    <row r="807" spans="1:1" ht="18.75" customHeight="1" x14ac:dyDescent="0.25">
      <c r="A807" s="51"/>
    </row>
    <row r="808" spans="1:1" ht="18.75" customHeight="1" x14ac:dyDescent="0.25">
      <c r="A808" s="51"/>
    </row>
    <row r="809" spans="1:1" ht="18.75" customHeight="1" x14ac:dyDescent="0.25">
      <c r="A809" s="51"/>
    </row>
    <row r="810" spans="1:1" ht="18.75" customHeight="1" x14ac:dyDescent="0.25">
      <c r="A810" s="51"/>
    </row>
    <row r="811" spans="1:1" ht="18.75" customHeight="1" x14ac:dyDescent="0.25">
      <c r="A811" s="51"/>
    </row>
    <row r="812" spans="1:1" ht="18.75" customHeight="1" x14ac:dyDescent="0.25">
      <c r="A812" s="51"/>
    </row>
    <row r="813" spans="1:1" ht="18.75" customHeight="1" x14ac:dyDescent="0.25">
      <c r="A813" s="51"/>
    </row>
    <row r="814" spans="1:1" ht="18.75" customHeight="1" x14ac:dyDescent="0.25">
      <c r="A814" s="51"/>
    </row>
    <row r="815" spans="1:1" ht="18.75" customHeight="1" x14ac:dyDescent="0.25">
      <c r="A815" s="51"/>
    </row>
    <row r="816" spans="1:1" ht="18.75" customHeight="1" x14ac:dyDescent="0.25">
      <c r="A816" s="51"/>
    </row>
    <row r="817" spans="1:1" ht="18.75" customHeight="1" x14ac:dyDescent="0.25">
      <c r="A817" s="51"/>
    </row>
    <row r="818" spans="1:1" ht="18.75" customHeight="1" x14ac:dyDescent="0.25">
      <c r="A818" s="51"/>
    </row>
    <row r="819" spans="1:1" ht="18.75" customHeight="1" x14ac:dyDescent="0.25">
      <c r="A819" s="51"/>
    </row>
    <row r="820" spans="1:1" ht="18.75" customHeight="1" x14ac:dyDescent="0.25">
      <c r="A820" s="51"/>
    </row>
    <row r="821" spans="1:1" ht="18.75" customHeight="1" x14ac:dyDescent="0.25">
      <c r="A821" s="51"/>
    </row>
    <row r="822" spans="1:1" ht="18.75" customHeight="1" x14ac:dyDescent="0.25">
      <c r="A822" s="51"/>
    </row>
    <row r="823" spans="1:1" ht="18.75" customHeight="1" x14ac:dyDescent="0.25">
      <c r="A823" s="51"/>
    </row>
    <row r="824" spans="1:1" ht="18.75" customHeight="1" x14ac:dyDescent="0.25">
      <c r="A824" s="51"/>
    </row>
    <row r="825" spans="1:1" ht="18.75" customHeight="1" x14ac:dyDescent="0.25">
      <c r="A825" s="51"/>
    </row>
    <row r="826" spans="1:1" ht="18.75" customHeight="1" x14ac:dyDescent="0.25">
      <c r="A826" s="51"/>
    </row>
    <row r="827" spans="1:1" ht="18.75" customHeight="1" x14ac:dyDescent="0.25">
      <c r="A827" s="51"/>
    </row>
    <row r="828" spans="1:1" ht="18.75" customHeight="1" x14ac:dyDescent="0.25">
      <c r="A828" s="51"/>
    </row>
    <row r="829" spans="1:1" ht="18.75" customHeight="1" x14ac:dyDescent="0.25">
      <c r="A829" s="51"/>
    </row>
    <row r="830" spans="1:1" ht="18.75" customHeight="1" x14ac:dyDescent="0.25">
      <c r="A830" s="51"/>
    </row>
    <row r="831" spans="1:1" ht="18.75" customHeight="1" x14ac:dyDescent="0.25">
      <c r="A831" s="51"/>
    </row>
    <row r="832" spans="1:1" ht="18.75" customHeight="1" x14ac:dyDescent="0.25">
      <c r="A832" s="51"/>
    </row>
    <row r="833" spans="1:1" ht="18.75" customHeight="1" x14ac:dyDescent="0.25">
      <c r="A833" s="51"/>
    </row>
    <row r="834" spans="1:1" ht="18.75" customHeight="1" x14ac:dyDescent="0.25">
      <c r="A834" s="51"/>
    </row>
    <row r="835" spans="1:1" ht="18.75" customHeight="1" x14ac:dyDescent="0.25">
      <c r="A835" s="51"/>
    </row>
    <row r="836" spans="1:1" ht="18.75" customHeight="1" x14ac:dyDescent="0.25">
      <c r="A836" s="51"/>
    </row>
    <row r="837" spans="1:1" ht="18.75" customHeight="1" x14ac:dyDescent="0.25">
      <c r="A837" s="51"/>
    </row>
    <row r="838" spans="1:1" ht="18.75" customHeight="1" x14ac:dyDescent="0.25">
      <c r="A838" s="51"/>
    </row>
    <row r="839" spans="1:1" ht="18.75" customHeight="1" x14ac:dyDescent="0.25">
      <c r="A839" s="51"/>
    </row>
    <row r="840" spans="1:1" ht="18.75" customHeight="1" x14ac:dyDescent="0.25">
      <c r="A840" s="51"/>
    </row>
    <row r="841" spans="1:1" ht="18.75" customHeight="1" x14ac:dyDescent="0.25">
      <c r="A841" s="51"/>
    </row>
    <row r="842" spans="1:1" ht="18.75" customHeight="1" x14ac:dyDescent="0.25">
      <c r="A842" s="51"/>
    </row>
    <row r="843" spans="1:1" ht="18.75" customHeight="1" x14ac:dyDescent="0.25">
      <c r="A843" s="51"/>
    </row>
    <row r="844" spans="1:1" ht="18.75" customHeight="1" x14ac:dyDescent="0.25">
      <c r="A844" s="51"/>
    </row>
    <row r="845" spans="1:1" ht="18.75" customHeight="1" x14ac:dyDescent="0.25">
      <c r="A845" s="51"/>
    </row>
    <row r="846" spans="1:1" ht="18.75" customHeight="1" x14ac:dyDescent="0.25">
      <c r="A846" s="51"/>
    </row>
    <row r="847" spans="1:1" ht="18.75" customHeight="1" x14ac:dyDescent="0.25">
      <c r="A847" s="51"/>
    </row>
    <row r="848" spans="1:1" ht="18.75" customHeight="1" x14ac:dyDescent="0.25">
      <c r="A848" s="51"/>
    </row>
    <row r="849" spans="1:1" ht="18.75" customHeight="1" x14ac:dyDescent="0.25">
      <c r="A849" s="51"/>
    </row>
    <row r="850" spans="1:1" ht="18.75" customHeight="1" x14ac:dyDescent="0.25">
      <c r="A850" s="51"/>
    </row>
    <row r="851" spans="1:1" ht="18.75" customHeight="1" x14ac:dyDescent="0.25">
      <c r="A851" s="51"/>
    </row>
    <row r="852" spans="1:1" ht="18.75" customHeight="1" x14ac:dyDescent="0.25">
      <c r="A852" s="51"/>
    </row>
    <row r="853" spans="1:1" ht="18.75" customHeight="1" x14ac:dyDescent="0.25">
      <c r="A853" s="51"/>
    </row>
    <row r="854" spans="1:1" ht="18.75" customHeight="1" x14ac:dyDescent="0.25">
      <c r="A854" s="51"/>
    </row>
    <row r="855" spans="1:1" ht="18.75" customHeight="1" x14ac:dyDescent="0.25">
      <c r="A855" s="51"/>
    </row>
    <row r="856" spans="1:1" ht="18.75" customHeight="1" x14ac:dyDescent="0.25">
      <c r="A856" s="51"/>
    </row>
    <row r="857" spans="1:1" ht="18.75" customHeight="1" x14ac:dyDescent="0.25">
      <c r="A857" s="51"/>
    </row>
    <row r="858" spans="1:1" ht="18.75" customHeight="1" x14ac:dyDescent="0.25">
      <c r="A858" s="51"/>
    </row>
    <row r="859" spans="1:1" ht="18.75" customHeight="1" x14ac:dyDescent="0.25">
      <c r="A859" s="51"/>
    </row>
    <row r="860" spans="1:1" ht="18.75" customHeight="1" x14ac:dyDescent="0.25">
      <c r="A860" s="51"/>
    </row>
    <row r="861" spans="1:1" ht="18.75" customHeight="1" x14ac:dyDescent="0.25">
      <c r="A861" s="51"/>
    </row>
    <row r="862" spans="1:1" ht="18.75" customHeight="1" x14ac:dyDescent="0.25">
      <c r="A862" s="51"/>
    </row>
    <row r="863" spans="1:1" ht="18.75" customHeight="1" x14ac:dyDescent="0.25">
      <c r="A863" s="51"/>
    </row>
    <row r="864" spans="1:1" ht="18.75" customHeight="1" x14ac:dyDescent="0.25">
      <c r="A864" s="51"/>
    </row>
    <row r="865" spans="1:1" ht="18.75" customHeight="1" x14ac:dyDescent="0.25">
      <c r="A865" s="51"/>
    </row>
    <row r="866" spans="1:1" ht="18.75" customHeight="1" x14ac:dyDescent="0.25">
      <c r="A866" s="51"/>
    </row>
    <row r="867" spans="1:1" ht="18.75" customHeight="1" x14ac:dyDescent="0.25">
      <c r="A867" s="51"/>
    </row>
    <row r="868" spans="1:1" ht="18.75" customHeight="1" x14ac:dyDescent="0.25">
      <c r="A868" s="51"/>
    </row>
    <row r="869" spans="1:1" ht="18.75" customHeight="1" x14ac:dyDescent="0.25">
      <c r="A869" s="51"/>
    </row>
    <row r="870" spans="1:1" ht="18.75" customHeight="1" x14ac:dyDescent="0.25">
      <c r="A870" s="51"/>
    </row>
    <row r="871" spans="1:1" ht="18.75" customHeight="1" x14ac:dyDescent="0.25">
      <c r="A871" s="51"/>
    </row>
    <row r="872" spans="1:1" ht="18.75" customHeight="1" x14ac:dyDescent="0.25">
      <c r="A872" s="51"/>
    </row>
    <row r="873" spans="1:1" ht="18.75" customHeight="1" x14ac:dyDescent="0.25">
      <c r="A873" s="51"/>
    </row>
    <row r="874" spans="1:1" ht="18.75" customHeight="1" x14ac:dyDescent="0.25">
      <c r="A874" s="51"/>
    </row>
    <row r="875" spans="1:1" ht="18.75" customHeight="1" x14ac:dyDescent="0.25">
      <c r="A875" s="51"/>
    </row>
    <row r="876" spans="1:1" ht="18.75" customHeight="1" x14ac:dyDescent="0.25">
      <c r="A876" s="51"/>
    </row>
    <row r="877" spans="1:1" ht="18.75" customHeight="1" x14ac:dyDescent="0.25">
      <c r="A877" s="51"/>
    </row>
    <row r="878" spans="1:1" ht="18.75" customHeight="1" x14ac:dyDescent="0.25">
      <c r="A878" s="51"/>
    </row>
    <row r="879" spans="1:1" ht="18.75" customHeight="1" x14ac:dyDescent="0.25">
      <c r="A879" s="51"/>
    </row>
    <row r="880" spans="1:1" ht="18.75" customHeight="1" x14ac:dyDescent="0.25">
      <c r="A880" s="51"/>
    </row>
    <row r="881" spans="1:1" ht="18.75" customHeight="1" x14ac:dyDescent="0.25">
      <c r="A881" s="51"/>
    </row>
    <row r="882" spans="1:1" ht="18.75" customHeight="1" x14ac:dyDescent="0.25">
      <c r="A882" s="51"/>
    </row>
    <row r="883" spans="1:1" ht="18.75" customHeight="1" x14ac:dyDescent="0.25">
      <c r="A883" s="51"/>
    </row>
    <row r="884" spans="1:1" ht="18.75" customHeight="1" x14ac:dyDescent="0.25">
      <c r="A884" s="51"/>
    </row>
    <row r="885" spans="1:1" ht="18.75" customHeight="1" x14ac:dyDescent="0.25">
      <c r="A885" s="51"/>
    </row>
    <row r="886" spans="1:1" ht="18.75" customHeight="1" x14ac:dyDescent="0.25">
      <c r="A886" s="51"/>
    </row>
    <row r="887" spans="1:1" ht="18.75" customHeight="1" x14ac:dyDescent="0.25">
      <c r="A887" s="51"/>
    </row>
    <row r="888" spans="1:1" ht="18.75" customHeight="1" x14ac:dyDescent="0.25">
      <c r="A888" s="51"/>
    </row>
    <row r="889" spans="1:1" ht="18.75" customHeight="1" x14ac:dyDescent="0.25">
      <c r="A889" s="51"/>
    </row>
    <row r="890" spans="1:1" ht="18.75" customHeight="1" x14ac:dyDescent="0.25">
      <c r="A890" s="51"/>
    </row>
    <row r="891" spans="1:1" ht="18.75" customHeight="1" x14ac:dyDescent="0.25">
      <c r="A891" s="51"/>
    </row>
    <row r="892" spans="1:1" ht="18.75" customHeight="1" x14ac:dyDescent="0.25">
      <c r="A892" s="51"/>
    </row>
    <row r="893" spans="1:1" ht="18.75" customHeight="1" x14ac:dyDescent="0.25">
      <c r="A893" s="51"/>
    </row>
    <row r="894" spans="1:1" ht="18.75" customHeight="1" x14ac:dyDescent="0.25">
      <c r="A894" s="51"/>
    </row>
    <row r="895" spans="1:1" ht="18.75" customHeight="1" x14ac:dyDescent="0.25">
      <c r="A895" s="51"/>
    </row>
    <row r="896" spans="1:1" ht="18.75" customHeight="1" x14ac:dyDescent="0.25">
      <c r="A896" s="51"/>
    </row>
    <row r="897" spans="1:1" ht="18.75" customHeight="1" x14ac:dyDescent="0.25">
      <c r="A897" s="51"/>
    </row>
    <row r="898" spans="1:1" ht="18.75" customHeight="1" x14ac:dyDescent="0.25">
      <c r="A898" s="51"/>
    </row>
    <row r="899" spans="1:1" ht="18.75" customHeight="1" x14ac:dyDescent="0.25">
      <c r="A899" s="51"/>
    </row>
    <row r="900" spans="1:1" ht="18.75" customHeight="1" x14ac:dyDescent="0.25">
      <c r="A900" s="51"/>
    </row>
    <row r="901" spans="1:1" ht="18.75" customHeight="1" x14ac:dyDescent="0.25">
      <c r="A901" s="51"/>
    </row>
    <row r="902" spans="1:1" ht="18.75" customHeight="1" x14ac:dyDescent="0.25">
      <c r="A902" s="51"/>
    </row>
    <row r="903" spans="1:1" ht="18.75" customHeight="1" x14ac:dyDescent="0.25">
      <c r="A903" s="51"/>
    </row>
    <row r="904" spans="1:1" ht="18.75" customHeight="1" x14ac:dyDescent="0.25">
      <c r="A904" s="51"/>
    </row>
    <row r="905" spans="1:1" ht="18.75" customHeight="1" x14ac:dyDescent="0.25">
      <c r="A905" s="51"/>
    </row>
    <row r="906" spans="1:1" ht="18.75" customHeight="1" x14ac:dyDescent="0.25">
      <c r="A906" s="51"/>
    </row>
    <row r="907" spans="1:1" ht="18.75" customHeight="1" x14ac:dyDescent="0.25">
      <c r="A907" s="51"/>
    </row>
    <row r="908" spans="1:1" ht="18.75" customHeight="1" x14ac:dyDescent="0.25">
      <c r="A908" s="51"/>
    </row>
    <row r="909" spans="1:1" ht="18.75" customHeight="1" x14ac:dyDescent="0.25">
      <c r="A909" s="51"/>
    </row>
    <row r="910" spans="1:1" ht="18.75" customHeight="1" x14ac:dyDescent="0.25">
      <c r="A910" s="51"/>
    </row>
    <row r="911" spans="1:1" ht="18.75" customHeight="1" x14ac:dyDescent="0.25">
      <c r="A911" s="51"/>
    </row>
    <row r="912" spans="1:1" ht="18.75" customHeight="1" x14ac:dyDescent="0.25">
      <c r="A912" s="51"/>
    </row>
    <row r="913" spans="1:1" ht="18.75" customHeight="1" x14ac:dyDescent="0.25">
      <c r="A913" s="51"/>
    </row>
    <row r="914" spans="1:1" ht="18.75" customHeight="1" x14ac:dyDescent="0.25">
      <c r="A914" s="51"/>
    </row>
    <row r="915" spans="1:1" ht="18.75" customHeight="1" x14ac:dyDescent="0.25">
      <c r="A915" s="51"/>
    </row>
    <row r="916" spans="1:1" ht="18.75" customHeight="1" x14ac:dyDescent="0.25">
      <c r="A916" s="51"/>
    </row>
    <row r="917" spans="1:1" ht="18.75" customHeight="1" x14ac:dyDescent="0.25">
      <c r="A917" s="51"/>
    </row>
    <row r="918" spans="1:1" ht="18.75" customHeight="1" x14ac:dyDescent="0.25">
      <c r="A918" s="51"/>
    </row>
    <row r="919" spans="1:1" ht="18.75" customHeight="1" x14ac:dyDescent="0.25">
      <c r="A919" s="51"/>
    </row>
    <row r="920" spans="1:1" ht="18.75" customHeight="1" x14ac:dyDescent="0.25">
      <c r="A920" s="51"/>
    </row>
    <row r="921" spans="1:1" ht="18.75" customHeight="1" x14ac:dyDescent="0.25">
      <c r="A921" s="51"/>
    </row>
    <row r="922" spans="1:1" ht="18.75" customHeight="1" x14ac:dyDescent="0.25">
      <c r="A922" s="51"/>
    </row>
    <row r="923" spans="1:1" ht="18.75" customHeight="1" x14ac:dyDescent="0.25">
      <c r="A923" s="51"/>
    </row>
    <row r="924" spans="1:1" ht="18.75" customHeight="1" x14ac:dyDescent="0.25">
      <c r="A924" s="51"/>
    </row>
    <row r="925" spans="1:1" ht="18.75" customHeight="1" x14ac:dyDescent="0.25">
      <c r="A925" s="51"/>
    </row>
    <row r="926" spans="1:1" ht="18.75" customHeight="1" x14ac:dyDescent="0.25">
      <c r="A926" s="51"/>
    </row>
    <row r="927" spans="1:1" ht="18.75" customHeight="1" x14ac:dyDescent="0.25">
      <c r="A927" s="51"/>
    </row>
    <row r="928" spans="1:1" ht="18.75" customHeight="1" x14ac:dyDescent="0.25">
      <c r="A928" s="51"/>
    </row>
    <row r="929" spans="1:1" ht="18.75" customHeight="1" x14ac:dyDescent="0.25">
      <c r="A929" s="51"/>
    </row>
    <row r="930" spans="1:1" ht="18.75" customHeight="1" x14ac:dyDescent="0.25">
      <c r="A930" s="51"/>
    </row>
    <row r="931" spans="1:1" ht="18.75" customHeight="1" x14ac:dyDescent="0.25">
      <c r="A931" s="51"/>
    </row>
    <row r="932" spans="1:1" ht="18.75" customHeight="1" x14ac:dyDescent="0.25">
      <c r="A932" s="51"/>
    </row>
    <row r="933" spans="1:1" ht="18.75" customHeight="1" x14ac:dyDescent="0.25">
      <c r="A933" s="51"/>
    </row>
    <row r="934" spans="1:1" ht="18.75" customHeight="1" x14ac:dyDescent="0.25">
      <c r="A934" s="51"/>
    </row>
    <row r="935" spans="1:1" ht="18.75" customHeight="1" x14ac:dyDescent="0.25">
      <c r="A935" s="51"/>
    </row>
    <row r="936" spans="1:1" ht="18.75" customHeight="1" x14ac:dyDescent="0.25">
      <c r="A936" s="51"/>
    </row>
    <row r="937" spans="1:1" ht="18.75" customHeight="1" x14ac:dyDescent="0.25">
      <c r="A937" s="51"/>
    </row>
    <row r="938" spans="1:1" ht="18.75" customHeight="1" x14ac:dyDescent="0.25">
      <c r="A938" s="51"/>
    </row>
    <row r="939" spans="1:1" ht="18.75" customHeight="1" x14ac:dyDescent="0.25">
      <c r="A939" s="51"/>
    </row>
    <row r="940" spans="1:1" ht="18.75" customHeight="1" x14ac:dyDescent="0.25">
      <c r="A940" s="51"/>
    </row>
    <row r="941" spans="1:1" ht="18.75" customHeight="1" x14ac:dyDescent="0.25">
      <c r="A941" s="51"/>
    </row>
    <row r="942" spans="1:1" ht="18.75" customHeight="1" x14ac:dyDescent="0.25">
      <c r="A942" s="51"/>
    </row>
    <row r="943" spans="1:1" ht="18.75" customHeight="1" x14ac:dyDescent="0.25">
      <c r="A943" s="51"/>
    </row>
    <row r="944" spans="1:1" ht="18.75" customHeight="1" x14ac:dyDescent="0.25">
      <c r="A944" s="51"/>
    </row>
    <row r="945" spans="1:1" ht="18.75" customHeight="1" x14ac:dyDescent="0.25">
      <c r="A945" s="51"/>
    </row>
    <row r="946" spans="1:1" ht="18.75" customHeight="1" x14ac:dyDescent="0.25">
      <c r="A946" s="51"/>
    </row>
    <row r="947" spans="1:1" ht="18.75" customHeight="1" x14ac:dyDescent="0.25">
      <c r="A947" s="51"/>
    </row>
    <row r="948" spans="1:1" ht="18.75" customHeight="1" x14ac:dyDescent="0.25">
      <c r="A948" s="51"/>
    </row>
    <row r="949" spans="1:1" ht="18.75" customHeight="1" x14ac:dyDescent="0.25">
      <c r="A949" s="51"/>
    </row>
    <row r="950" spans="1:1" ht="18.75" customHeight="1" x14ac:dyDescent="0.25">
      <c r="A950" s="51"/>
    </row>
    <row r="951" spans="1:1" ht="18.75" customHeight="1" x14ac:dyDescent="0.25">
      <c r="A951" s="51"/>
    </row>
    <row r="952" spans="1:1" ht="18.75" customHeight="1" x14ac:dyDescent="0.25">
      <c r="A952" s="51"/>
    </row>
    <row r="953" spans="1:1" ht="18.75" customHeight="1" x14ac:dyDescent="0.25">
      <c r="A953" s="51"/>
    </row>
    <row r="954" spans="1:1" ht="18.75" customHeight="1" x14ac:dyDescent="0.25">
      <c r="A954" s="51"/>
    </row>
    <row r="955" spans="1:1" ht="18.75" customHeight="1" x14ac:dyDescent="0.25">
      <c r="A955" s="51"/>
    </row>
    <row r="956" spans="1:1" ht="18.75" customHeight="1" x14ac:dyDescent="0.25">
      <c r="A956" s="51"/>
    </row>
    <row r="957" spans="1:1" ht="18.75" customHeight="1" x14ac:dyDescent="0.25">
      <c r="A957" s="51"/>
    </row>
    <row r="958" spans="1:1" ht="18.75" customHeight="1" x14ac:dyDescent="0.25">
      <c r="A958" s="51"/>
    </row>
    <row r="959" spans="1:1" ht="18.75" customHeight="1" x14ac:dyDescent="0.25">
      <c r="A959" s="51"/>
    </row>
    <row r="960" spans="1:1" ht="18.75" customHeight="1" x14ac:dyDescent="0.25">
      <c r="A960" s="51"/>
    </row>
    <row r="961" spans="1:1" ht="18.75" customHeight="1" x14ac:dyDescent="0.25">
      <c r="A961" s="51"/>
    </row>
    <row r="962" spans="1:1" ht="18.75" customHeight="1" x14ac:dyDescent="0.25">
      <c r="A962" s="51"/>
    </row>
    <row r="963" spans="1:1" ht="18.75" customHeight="1" x14ac:dyDescent="0.25">
      <c r="A963" s="51"/>
    </row>
    <row r="964" spans="1:1" ht="18.75" customHeight="1" x14ac:dyDescent="0.25">
      <c r="A964" s="51"/>
    </row>
    <row r="965" spans="1:1" ht="18.75" customHeight="1" x14ac:dyDescent="0.25">
      <c r="A965" s="51"/>
    </row>
    <row r="966" spans="1:1" ht="18.75" customHeight="1" x14ac:dyDescent="0.25">
      <c r="A966" s="51"/>
    </row>
    <row r="967" spans="1:1" ht="18.75" customHeight="1" x14ac:dyDescent="0.25">
      <c r="A967" s="51"/>
    </row>
    <row r="968" spans="1:1" ht="18.75" customHeight="1" x14ac:dyDescent="0.25">
      <c r="A968" s="51"/>
    </row>
    <row r="969" spans="1:1" ht="18.75" customHeight="1" x14ac:dyDescent="0.25">
      <c r="A969" s="51"/>
    </row>
    <row r="970" spans="1:1" ht="18.75" customHeight="1" x14ac:dyDescent="0.25">
      <c r="A970" s="51"/>
    </row>
    <row r="971" spans="1:1" ht="18.75" customHeight="1" x14ac:dyDescent="0.25">
      <c r="A971" s="51"/>
    </row>
    <row r="972" spans="1:1" ht="18.75" customHeight="1" x14ac:dyDescent="0.25">
      <c r="A972" s="51"/>
    </row>
    <row r="973" spans="1:1" ht="18.75" customHeight="1" x14ac:dyDescent="0.25">
      <c r="A973" s="51"/>
    </row>
    <row r="974" spans="1:1" ht="18.75" customHeight="1" x14ac:dyDescent="0.25">
      <c r="A974" s="51"/>
    </row>
    <row r="975" spans="1:1" ht="18.75" customHeight="1" x14ac:dyDescent="0.25">
      <c r="A975" s="51"/>
    </row>
    <row r="976" spans="1:1" ht="18.75" customHeight="1" x14ac:dyDescent="0.25">
      <c r="A976" s="51"/>
    </row>
    <row r="977" spans="1:1" ht="18.75" customHeight="1" x14ac:dyDescent="0.25">
      <c r="A977" s="51"/>
    </row>
    <row r="978" spans="1:1" ht="18.75" customHeight="1" x14ac:dyDescent="0.25">
      <c r="A978" s="51"/>
    </row>
    <row r="979" spans="1:1" ht="18.75" customHeight="1" x14ac:dyDescent="0.25">
      <c r="A979" s="51"/>
    </row>
    <row r="980" spans="1:1" ht="18.75" customHeight="1" x14ac:dyDescent="0.25">
      <c r="A980" s="51"/>
    </row>
    <row r="981" spans="1:1" ht="18.75" customHeight="1" x14ac:dyDescent="0.25">
      <c r="A981" s="51"/>
    </row>
    <row r="982" spans="1:1" ht="18.75" customHeight="1" x14ac:dyDescent="0.25">
      <c r="A982" s="51"/>
    </row>
    <row r="983" spans="1:1" ht="18.75" customHeight="1" x14ac:dyDescent="0.25">
      <c r="A983" s="51"/>
    </row>
    <row r="984" spans="1:1" ht="18.75" customHeight="1" x14ac:dyDescent="0.25">
      <c r="A984" s="51"/>
    </row>
    <row r="985" spans="1:1" ht="18.75" customHeight="1" x14ac:dyDescent="0.25">
      <c r="A985" s="51"/>
    </row>
    <row r="986" spans="1:1" ht="18.75" customHeight="1" x14ac:dyDescent="0.25">
      <c r="A986" s="51"/>
    </row>
    <row r="987" spans="1:1" ht="18.75" customHeight="1" x14ac:dyDescent="0.25">
      <c r="A987" s="51"/>
    </row>
    <row r="988" spans="1:1" ht="18.75" customHeight="1" x14ac:dyDescent="0.25">
      <c r="A988" s="51"/>
    </row>
    <row r="989" spans="1:1" ht="18.75" customHeight="1" x14ac:dyDescent="0.25">
      <c r="A989" s="51"/>
    </row>
    <row r="990" spans="1:1" ht="18.75" customHeight="1" x14ac:dyDescent="0.25">
      <c r="A990" s="51"/>
    </row>
    <row r="991" spans="1:1" ht="18.75" customHeight="1" x14ac:dyDescent="0.25">
      <c r="A991" s="51"/>
    </row>
    <row r="992" spans="1:1" ht="18.75" customHeight="1" x14ac:dyDescent="0.25">
      <c r="A992" s="51"/>
    </row>
    <row r="993" spans="1:1" ht="18.75" customHeight="1" x14ac:dyDescent="0.25">
      <c r="A993" s="51"/>
    </row>
    <row r="994" spans="1:1" ht="18.75" customHeight="1" x14ac:dyDescent="0.25">
      <c r="A994" s="51"/>
    </row>
    <row r="995" spans="1:1" ht="18.75" customHeight="1" x14ac:dyDescent="0.25">
      <c r="A995" s="51"/>
    </row>
    <row r="996" spans="1:1" ht="18.75" customHeight="1" x14ac:dyDescent="0.25">
      <c r="A996" s="51"/>
    </row>
    <row r="997" spans="1:1" ht="18.75" customHeight="1" x14ac:dyDescent="0.25">
      <c r="A997" s="51"/>
    </row>
    <row r="998" spans="1:1" ht="18.75" customHeight="1" x14ac:dyDescent="0.25">
      <c r="A998" s="51"/>
    </row>
    <row r="999" spans="1:1" ht="18.75" customHeight="1" x14ac:dyDescent="0.25">
      <c r="A999" s="51"/>
    </row>
    <row r="1000" spans="1:1" ht="18.75" customHeight="1" x14ac:dyDescent="0.25">
      <c r="A1000" s="51"/>
    </row>
    <row r="1001" spans="1:1" ht="18.75" customHeight="1" x14ac:dyDescent="0.25">
      <c r="A1001" s="51"/>
    </row>
    <row r="1002" spans="1:1" ht="18.75" customHeight="1" x14ac:dyDescent="0.25">
      <c r="A1002" s="51"/>
    </row>
    <row r="1003" spans="1:1" ht="18.75" customHeight="1" x14ac:dyDescent="0.25">
      <c r="A1003" s="51"/>
    </row>
    <row r="1004" spans="1:1" ht="18.75" customHeight="1" x14ac:dyDescent="0.25">
      <c r="A1004" s="51"/>
    </row>
    <row r="1005" spans="1:1" ht="18.75" customHeight="1" x14ac:dyDescent="0.25">
      <c r="A1005" s="51"/>
    </row>
    <row r="1006" spans="1:1" ht="18.75" customHeight="1" x14ac:dyDescent="0.25">
      <c r="A1006" s="51"/>
    </row>
    <row r="1007" spans="1:1" ht="18.75" customHeight="1" x14ac:dyDescent="0.25">
      <c r="A1007" s="51"/>
    </row>
    <row r="1008" spans="1:1" ht="18.75" customHeight="1" x14ac:dyDescent="0.25">
      <c r="A1008" s="51"/>
    </row>
    <row r="1009" spans="1:1" ht="18.75" customHeight="1" x14ac:dyDescent="0.25">
      <c r="A1009" s="51"/>
    </row>
    <row r="1010" spans="1:1" ht="18.75" customHeight="1" x14ac:dyDescent="0.25">
      <c r="A1010" s="51"/>
    </row>
    <row r="1011" spans="1:1" ht="18.75" customHeight="1" x14ac:dyDescent="0.25">
      <c r="A1011" s="51"/>
    </row>
    <row r="1012" spans="1:1" ht="18.75" customHeight="1" x14ac:dyDescent="0.25">
      <c r="A1012" s="51"/>
    </row>
    <row r="1013" spans="1:1" ht="18.75" customHeight="1" x14ac:dyDescent="0.25">
      <c r="A1013" s="51"/>
    </row>
    <row r="1014" spans="1:1" ht="18.75" customHeight="1" x14ac:dyDescent="0.25">
      <c r="A1014" s="51"/>
    </row>
    <row r="1015" spans="1:1" ht="18.75" customHeight="1" x14ac:dyDescent="0.25">
      <c r="A1015" s="51"/>
    </row>
    <row r="1016" spans="1:1" ht="18.75" customHeight="1" x14ac:dyDescent="0.25">
      <c r="A1016" s="51"/>
    </row>
    <row r="1017" spans="1:1" ht="18.75" customHeight="1" x14ac:dyDescent="0.25">
      <c r="A1017" s="51"/>
    </row>
    <row r="1018" spans="1:1" ht="18.75" customHeight="1" x14ac:dyDescent="0.25">
      <c r="A1018" s="51"/>
    </row>
    <row r="1019" spans="1:1" ht="18.75" customHeight="1" x14ac:dyDescent="0.25">
      <c r="A1019" s="51"/>
    </row>
    <row r="1020" spans="1:1" ht="18.75" customHeight="1" x14ac:dyDescent="0.25">
      <c r="A1020" s="51"/>
    </row>
    <row r="1021" spans="1:1" ht="18.75" customHeight="1" x14ac:dyDescent="0.25">
      <c r="A1021" s="51"/>
    </row>
    <row r="1022" spans="1:1" ht="18.75" customHeight="1" x14ac:dyDescent="0.25">
      <c r="A1022" s="51"/>
    </row>
    <row r="1023" spans="1:1" ht="18.75" customHeight="1" x14ac:dyDescent="0.25">
      <c r="A1023" s="51"/>
    </row>
    <row r="1024" spans="1:1" ht="18.75" customHeight="1" x14ac:dyDescent="0.25">
      <c r="A1024" s="51"/>
    </row>
    <row r="1025" spans="1:1" ht="18.75" customHeight="1" x14ac:dyDescent="0.25">
      <c r="A1025" s="51"/>
    </row>
    <row r="1026" spans="1:1" ht="18.75" customHeight="1" x14ac:dyDescent="0.25">
      <c r="A1026" s="51"/>
    </row>
    <row r="1027" spans="1:1" ht="18.75" customHeight="1" x14ac:dyDescent="0.25">
      <c r="A1027" s="51"/>
    </row>
    <row r="1028" spans="1:1" ht="18.75" customHeight="1" x14ac:dyDescent="0.25">
      <c r="A1028" s="51"/>
    </row>
    <row r="1029" spans="1:1" ht="18.75" customHeight="1" x14ac:dyDescent="0.25">
      <c r="A1029" s="51"/>
    </row>
    <row r="1030" spans="1:1" ht="18.75" customHeight="1" x14ac:dyDescent="0.25">
      <c r="A1030" s="51"/>
    </row>
    <row r="1031" spans="1:1" ht="18.75" customHeight="1" x14ac:dyDescent="0.25">
      <c r="A1031" s="51"/>
    </row>
    <row r="1032" spans="1:1" ht="18.75" customHeight="1" x14ac:dyDescent="0.25">
      <c r="A1032" s="51"/>
    </row>
    <row r="1033" spans="1:1" ht="18.75" customHeight="1" x14ac:dyDescent="0.25">
      <c r="A1033" s="51"/>
    </row>
    <row r="1034" spans="1:1" ht="18.75" customHeight="1" x14ac:dyDescent="0.25">
      <c r="A1034" s="51"/>
    </row>
    <row r="1035" spans="1:1" ht="18.75" customHeight="1" x14ac:dyDescent="0.25">
      <c r="A1035" s="51"/>
    </row>
  </sheetData>
  <mergeCells count="516">
    <mergeCell ref="A1028:A1029"/>
    <mergeCell ref="A1030:A1031"/>
    <mergeCell ref="A1032:A1033"/>
    <mergeCell ref="A1034:A1035"/>
    <mergeCell ref="A1018:A1019"/>
    <mergeCell ref="A1020:A1021"/>
    <mergeCell ref="A1022:A1023"/>
    <mergeCell ref="A1024:A1025"/>
    <mergeCell ref="A1026:A1027"/>
    <mergeCell ref="A1008:A1009"/>
    <mergeCell ref="A1010:A1011"/>
    <mergeCell ref="A1012:A1013"/>
    <mergeCell ref="A1014:A1015"/>
    <mergeCell ref="A1016:A1017"/>
    <mergeCell ref="A998:A999"/>
    <mergeCell ref="A1000:A1001"/>
    <mergeCell ref="A1002:A1003"/>
    <mergeCell ref="A1004:A1005"/>
    <mergeCell ref="A1006:A1007"/>
    <mergeCell ref="A988:A989"/>
    <mergeCell ref="A990:A991"/>
    <mergeCell ref="A992:A993"/>
    <mergeCell ref="A994:A995"/>
    <mergeCell ref="A996:A997"/>
    <mergeCell ref="A978:A979"/>
    <mergeCell ref="A980:A981"/>
    <mergeCell ref="A982:A983"/>
    <mergeCell ref="A984:A985"/>
    <mergeCell ref="A986:A987"/>
    <mergeCell ref="A968:A969"/>
    <mergeCell ref="A970:A971"/>
    <mergeCell ref="A972:A973"/>
    <mergeCell ref="A974:A975"/>
    <mergeCell ref="A976:A977"/>
    <mergeCell ref="A958:A959"/>
    <mergeCell ref="A960:A961"/>
    <mergeCell ref="A962:A963"/>
    <mergeCell ref="A964:A965"/>
    <mergeCell ref="A966:A967"/>
    <mergeCell ref="A948:A949"/>
    <mergeCell ref="A950:A951"/>
    <mergeCell ref="A952:A953"/>
    <mergeCell ref="A954:A955"/>
    <mergeCell ref="A956:A957"/>
    <mergeCell ref="A938:A939"/>
    <mergeCell ref="A940:A941"/>
    <mergeCell ref="A942:A943"/>
    <mergeCell ref="A944:A945"/>
    <mergeCell ref="A946:A947"/>
    <mergeCell ref="A928:A929"/>
    <mergeCell ref="A930:A931"/>
    <mergeCell ref="A932:A933"/>
    <mergeCell ref="A934:A935"/>
    <mergeCell ref="A936:A937"/>
    <mergeCell ref="A918:A919"/>
    <mergeCell ref="A920:A921"/>
    <mergeCell ref="A922:A923"/>
    <mergeCell ref="A924:A925"/>
    <mergeCell ref="A926:A927"/>
    <mergeCell ref="A908:A909"/>
    <mergeCell ref="A910:A911"/>
    <mergeCell ref="A912:A913"/>
    <mergeCell ref="A914:A915"/>
    <mergeCell ref="A916:A917"/>
    <mergeCell ref="A898:A899"/>
    <mergeCell ref="A900:A901"/>
    <mergeCell ref="A902:A903"/>
    <mergeCell ref="A904:A905"/>
    <mergeCell ref="A906:A907"/>
    <mergeCell ref="A888:A889"/>
    <mergeCell ref="A890:A891"/>
    <mergeCell ref="A892:A893"/>
    <mergeCell ref="A894:A895"/>
    <mergeCell ref="A896:A897"/>
    <mergeCell ref="A878:A879"/>
    <mergeCell ref="A880:A881"/>
    <mergeCell ref="A882:A883"/>
    <mergeCell ref="A884:A885"/>
    <mergeCell ref="A886:A887"/>
    <mergeCell ref="A868:A869"/>
    <mergeCell ref="A870:A871"/>
    <mergeCell ref="A872:A873"/>
    <mergeCell ref="A874:A875"/>
    <mergeCell ref="A876:A877"/>
    <mergeCell ref="A858:A859"/>
    <mergeCell ref="A860:A861"/>
    <mergeCell ref="A862:A863"/>
    <mergeCell ref="A864:A865"/>
    <mergeCell ref="A866:A867"/>
    <mergeCell ref="A848:A849"/>
    <mergeCell ref="A850:A851"/>
    <mergeCell ref="A852:A853"/>
    <mergeCell ref="A854:A855"/>
    <mergeCell ref="A856:A857"/>
    <mergeCell ref="A838:A839"/>
    <mergeCell ref="A840:A841"/>
    <mergeCell ref="A842:A843"/>
    <mergeCell ref="A844:A845"/>
    <mergeCell ref="A846:A847"/>
    <mergeCell ref="A828:A829"/>
    <mergeCell ref="A830:A831"/>
    <mergeCell ref="A832:A833"/>
    <mergeCell ref="A834:A835"/>
    <mergeCell ref="A836:A837"/>
    <mergeCell ref="A818:A819"/>
    <mergeCell ref="A820:A821"/>
    <mergeCell ref="A822:A823"/>
    <mergeCell ref="A824:A825"/>
    <mergeCell ref="A826:A827"/>
    <mergeCell ref="A808:A809"/>
    <mergeCell ref="A810:A811"/>
    <mergeCell ref="A812:A813"/>
    <mergeCell ref="A814:A815"/>
    <mergeCell ref="A816:A817"/>
    <mergeCell ref="A798:A799"/>
    <mergeCell ref="A800:A801"/>
    <mergeCell ref="A802:A803"/>
    <mergeCell ref="A804:A805"/>
    <mergeCell ref="A806:A807"/>
    <mergeCell ref="A788:A789"/>
    <mergeCell ref="A790:A791"/>
    <mergeCell ref="A792:A793"/>
    <mergeCell ref="A794:A795"/>
    <mergeCell ref="A796:A797"/>
    <mergeCell ref="A778:A779"/>
    <mergeCell ref="A780:A781"/>
    <mergeCell ref="A782:A783"/>
    <mergeCell ref="A784:A785"/>
    <mergeCell ref="A786:A787"/>
    <mergeCell ref="A768:A769"/>
    <mergeCell ref="A770:A771"/>
    <mergeCell ref="A772:A773"/>
    <mergeCell ref="A774:A775"/>
    <mergeCell ref="A776:A777"/>
    <mergeCell ref="A758:A759"/>
    <mergeCell ref="A760:A761"/>
    <mergeCell ref="A762:A763"/>
    <mergeCell ref="A764:A765"/>
    <mergeCell ref="A766:A767"/>
    <mergeCell ref="A748:A749"/>
    <mergeCell ref="A750:A751"/>
    <mergeCell ref="A752:A753"/>
    <mergeCell ref="A754:A755"/>
    <mergeCell ref="A756:A757"/>
    <mergeCell ref="A738:A739"/>
    <mergeCell ref="A740:A741"/>
    <mergeCell ref="A742:A743"/>
    <mergeCell ref="A744:A745"/>
    <mergeCell ref="A746:A747"/>
    <mergeCell ref="A728:A729"/>
    <mergeCell ref="A730:A731"/>
    <mergeCell ref="A732:A733"/>
    <mergeCell ref="A734:A735"/>
    <mergeCell ref="A736:A737"/>
    <mergeCell ref="A718:A719"/>
    <mergeCell ref="A720:A721"/>
    <mergeCell ref="A722:A723"/>
    <mergeCell ref="A724:A725"/>
    <mergeCell ref="A726:A727"/>
    <mergeCell ref="A708:A709"/>
    <mergeCell ref="A710:A711"/>
    <mergeCell ref="A712:A713"/>
    <mergeCell ref="A714:A715"/>
    <mergeCell ref="A716:A717"/>
    <mergeCell ref="A698:A699"/>
    <mergeCell ref="A700:A701"/>
    <mergeCell ref="A702:A703"/>
    <mergeCell ref="A704:A705"/>
    <mergeCell ref="A706:A707"/>
    <mergeCell ref="A688:A689"/>
    <mergeCell ref="A690:A691"/>
    <mergeCell ref="A692:A693"/>
    <mergeCell ref="A694:A695"/>
    <mergeCell ref="A696:A697"/>
    <mergeCell ref="A678:A679"/>
    <mergeCell ref="A680:A681"/>
    <mergeCell ref="A682:A683"/>
    <mergeCell ref="A684:A685"/>
    <mergeCell ref="A686:A687"/>
    <mergeCell ref="A668:A669"/>
    <mergeCell ref="A670:A671"/>
    <mergeCell ref="A672:A673"/>
    <mergeCell ref="A674:A675"/>
    <mergeCell ref="A676:A677"/>
    <mergeCell ref="A658:A659"/>
    <mergeCell ref="A660:A661"/>
    <mergeCell ref="A662:A663"/>
    <mergeCell ref="A664:A665"/>
    <mergeCell ref="A666:A667"/>
    <mergeCell ref="A648:A649"/>
    <mergeCell ref="A650:A651"/>
    <mergeCell ref="A652:A653"/>
    <mergeCell ref="A654:A655"/>
    <mergeCell ref="A656:A657"/>
    <mergeCell ref="A638:A639"/>
    <mergeCell ref="A640:A641"/>
    <mergeCell ref="A642:A643"/>
    <mergeCell ref="A644:A645"/>
    <mergeCell ref="A646:A647"/>
    <mergeCell ref="A628:A629"/>
    <mergeCell ref="A630:A631"/>
    <mergeCell ref="A632:A633"/>
    <mergeCell ref="A634:A635"/>
    <mergeCell ref="A636:A637"/>
    <mergeCell ref="A618:A619"/>
    <mergeCell ref="A620:A621"/>
    <mergeCell ref="A622:A623"/>
    <mergeCell ref="A624:A625"/>
    <mergeCell ref="A626:A627"/>
    <mergeCell ref="A608:A609"/>
    <mergeCell ref="A610:A611"/>
    <mergeCell ref="A612:A613"/>
    <mergeCell ref="A614:A615"/>
    <mergeCell ref="A616:A617"/>
    <mergeCell ref="A598:A599"/>
    <mergeCell ref="A600:A601"/>
    <mergeCell ref="A602:A603"/>
    <mergeCell ref="A604:A605"/>
    <mergeCell ref="A606:A607"/>
    <mergeCell ref="A588:A589"/>
    <mergeCell ref="A590:A591"/>
    <mergeCell ref="A592:A593"/>
    <mergeCell ref="A594:A595"/>
    <mergeCell ref="A596:A597"/>
    <mergeCell ref="A578:A579"/>
    <mergeCell ref="A580:A581"/>
    <mergeCell ref="A582:A583"/>
    <mergeCell ref="A584:A585"/>
    <mergeCell ref="A586:A587"/>
    <mergeCell ref="A568:A569"/>
    <mergeCell ref="A570:A571"/>
    <mergeCell ref="A572:A573"/>
    <mergeCell ref="A574:A575"/>
    <mergeCell ref="A576:A577"/>
    <mergeCell ref="A558:A559"/>
    <mergeCell ref="A560:A561"/>
    <mergeCell ref="A562:A563"/>
    <mergeCell ref="A564:A565"/>
    <mergeCell ref="A566:A567"/>
    <mergeCell ref="A548:A549"/>
    <mergeCell ref="A550:A551"/>
    <mergeCell ref="A552:A553"/>
    <mergeCell ref="A554:A555"/>
    <mergeCell ref="A556:A557"/>
    <mergeCell ref="A538:A539"/>
    <mergeCell ref="A540:A541"/>
    <mergeCell ref="A542:A543"/>
    <mergeCell ref="A544:A545"/>
    <mergeCell ref="A546:A547"/>
    <mergeCell ref="A528:A529"/>
    <mergeCell ref="A530:A531"/>
    <mergeCell ref="A532:A533"/>
    <mergeCell ref="A534:A535"/>
    <mergeCell ref="A536:A537"/>
    <mergeCell ref="A518:A519"/>
    <mergeCell ref="A520:A521"/>
    <mergeCell ref="A522:A523"/>
    <mergeCell ref="A524:A525"/>
    <mergeCell ref="A526:A527"/>
    <mergeCell ref="A508:A509"/>
    <mergeCell ref="A510:A511"/>
    <mergeCell ref="A512:A513"/>
    <mergeCell ref="A514:A515"/>
    <mergeCell ref="A516:A517"/>
    <mergeCell ref="A498:A499"/>
    <mergeCell ref="A500:A501"/>
    <mergeCell ref="A502:A503"/>
    <mergeCell ref="A504:A505"/>
    <mergeCell ref="A506:A507"/>
    <mergeCell ref="A488:A489"/>
    <mergeCell ref="A490:A491"/>
    <mergeCell ref="A492:A493"/>
    <mergeCell ref="A494:A495"/>
    <mergeCell ref="A496:A497"/>
    <mergeCell ref="A478:A479"/>
    <mergeCell ref="A480:A481"/>
    <mergeCell ref="A482:A483"/>
    <mergeCell ref="A484:A485"/>
    <mergeCell ref="A486:A487"/>
    <mergeCell ref="A468:A469"/>
    <mergeCell ref="A470:A471"/>
    <mergeCell ref="A472:A473"/>
    <mergeCell ref="A474:A475"/>
    <mergeCell ref="A476:A477"/>
    <mergeCell ref="A458:A459"/>
    <mergeCell ref="A460:A461"/>
    <mergeCell ref="A462:A463"/>
    <mergeCell ref="A464:A465"/>
    <mergeCell ref="A466:A467"/>
    <mergeCell ref="A448:A449"/>
    <mergeCell ref="A450:A451"/>
    <mergeCell ref="A452:A453"/>
    <mergeCell ref="A454:A455"/>
    <mergeCell ref="A456:A457"/>
    <mergeCell ref="A438:A439"/>
    <mergeCell ref="A440:A441"/>
    <mergeCell ref="A442:A443"/>
    <mergeCell ref="A444:A445"/>
    <mergeCell ref="A446:A447"/>
    <mergeCell ref="A428:A429"/>
    <mergeCell ref="A430:A431"/>
    <mergeCell ref="A432:A433"/>
    <mergeCell ref="A434:A435"/>
    <mergeCell ref="A436:A437"/>
    <mergeCell ref="A418:A419"/>
    <mergeCell ref="A420:A421"/>
    <mergeCell ref="A422:A423"/>
    <mergeCell ref="A424:A425"/>
    <mergeCell ref="A426:A427"/>
    <mergeCell ref="A408:A409"/>
    <mergeCell ref="A410:A411"/>
    <mergeCell ref="A412:A413"/>
    <mergeCell ref="A414:A415"/>
    <mergeCell ref="A416:A417"/>
    <mergeCell ref="A398:A399"/>
    <mergeCell ref="A400:A401"/>
    <mergeCell ref="A402:A403"/>
    <mergeCell ref="A404:A405"/>
    <mergeCell ref="A406:A407"/>
    <mergeCell ref="A388:A389"/>
    <mergeCell ref="A390:A391"/>
    <mergeCell ref="A392:A393"/>
    <mergeCell ref="A394:A395"/>
    <mergeCell ref="A396:A397"/>
    <mergeCell ref="A378:A379"/>
    <mergeCell ref="A380:A381"/>
    <mergeCell ref="A382:A383"/>
    <mergeCell ref="A384:A385"/>
    <mergeCell ref="A386:A387"/>
    <mergeCell ref="A368:A369"/>
    <mergeCell ref="A370:A371"/>
    <mergeCell ref="A372:A373"/>
    <mergeCell ref="A374:A375"/>
    <mergeCell ref="A376:A377"/>
    <mergeCell ref="A358:A359"/>
    <mergeCell ref="A360:A361"/>
    <mergeCell ref="A362:A363"/>
    <mergeCell ref="A364:A365"/>
    <mergeCell ref="A366:A367"/>
    <mergeCell ref="A348:A349"/>
    <mergeCell ref="A350:A351"/>
    <mergeCell ref="A352:A353"/>
    <mergeCell ref="A354:A355"/>
    <mergeCell ref="A356:A357"/>
    <mergeCell ref="A338:A339"/>
    <mergeCell ref="A340:A341"/>
    <mergeCell ref="A342:A343"/>
    <mergeCell ref="A344:A345"/>
    <mergeCell ref="A346:A347"/>
    <mergeCell ref="A328:A329"/>
    <mergeCell ref="A330:A331"/>
    <mergeCell ref="A332:A333"/>
    <mergeCell ref="A334:A335"/>
    <mergeCell ref="A336:A337"/>
    <mergeCell ref="A318:A319"/>
    <mergeCell ref="A320:A321"/>
    <mergeCell ref="A322:A323"/>
    <mergeCell ref="A324:A325"/>
    <mergeCell ref="A326:A327"/>
    <mergeCell ref="A308:A309"/>
    <mergeCell ref="A310:A311"/>
    <mergeCell ref="A312:A313"/>
    <mergeCell ref="A314:A315"/>
    <mergeCell ref="A316:A317"/>
    <mergeCell ref="A298:A299"/>
    <mergeCell ref="A300:A301"/>
    <mergeCell ref="A302:A303"/>
    <mergeCell ref="A304:A305"/>
    <mergeCell ref="A306:A307"/>
    <mergeCell ref="A288:A289"/>
    <mergeCell ref="A290:A291"/>
    <mergeCell ref="A292:A293"/>
    <mergeCell ref="A294:A295"/>
    <mergeCell ref="A296:A297"/>
    <mergeCell ref="A278:A279"/>
    <mergeCell ref="A280:A281"/>
    <mergeCell ref="A282:A283"/>
    <mergeCell ref="A284:A285"/>
    <mergeCell ref="A286:A287"/>
    <mergeCell ref="A268:A269"/>
    <mergeCell ref="A270:A271"/>
    <mergeCell ref="A272:A273"/>
    <mergeCell ref="A274:A275"/>
    <mergeCell ref="A276:A277"/>
    <mergeCell ref="A258:A259"/>
    <mergeCell ref="A260:A261"/>
    <mergeCell ref="A262:A263"/>
    <mergeCell ref="A264:A265"/>
    <mergeCell ref="A266:A267"/>
    <mergeCell ref="A248:A249"/>
    <mergeCell ref="A250:A251"/>
    <mergeCell ref="A252:A253"/>
    <mergeCell ref="A254:A255"/>
    <mergeCell ref="A256:A257"/>
    <mergeCell ref="A238:A239"/>
    <mergeCell ref="A240:A241"/>
    <mergeCell ref="A242:A243"/>
    <mergeCell ref="A244:A245"/>
    <mergeCell ref="A246:A247"/>
    <mergeCell ref="A228:A229"/>
    <mergeCell ref="A230:A231"/>
    <mergeCell ref="A232:A233"/>
    <mergeCell ref="A234:A235"/>
    <mergeCell ref="A236:A237"/>
    <mergeCell ref="A218:A219"/>
    <mergeCell ref="A220:A221"/>
    <mergeCell ref="A222:A223"/>
    <mergeCell ref="A224:A225"/>
    <mergeCell ref="A226:A227"/>
    <mergeCell ref="A208:A209"/>
    <mergeCell ref="A210:A211"/>
    <mergeCell ref="A212:A213"/>
    <mergeCell ref="A214:A215"/>
    <mergeCell ref="A216:A217"/>
    <mergeCell ref="A198:A199"/>
    <mergeCell ref="A200:A201"/>
    <mergeCell ref="A202:A203"/>
    <mergeCell ref="A204:A205"/>
    <mergeCell ref="A206:A207"/>
    <mergeCell ref="A188:A189"/>
    <mergeCell ref="A190:A191"/>
    <mergeCell ref="A192:A193"/>
    <mergeCell ref="A194:A195"/>
    <mergeCell ref="A196:A197"/>
    <mergeCell ref="A178:A179"/>
    <mergeCell ref="A180:A181"/>
    <mergeCell ref="A182:A183"/>
    <mergeCell ref="A184:A185"/>
    <mergeCell ref="A186:A187"/>
    <mergeCell ref="A168:A169"/>
    <mergeCell ref="A170:A171"/>
    <mergeCell ref="A172:A173"/>
    <mergeCell ref="A174:A175"/>
    <mergeCell ref="A176:A177"/>
    <mergeCell ref="A158:A159"/>
    <mergeCell ref="A160:A161"/>
    <mergeCell ref="A162:A163"/>
    <mergeCell ref="A164:A165"/>
    <mergeCell ref="A166:A167"/>
    <mergeCell ref="A148:A149"/>
    <mergeCell ref="A150:A151"/>
    <mergeCell ref="A152:A153"/>
    <mergeCell ref="A154:A155"/>
    <mergeCell ref="A156:A157"/>
    <mergeCell ref="A138:A139"/>
    <mergeCell ref="A140:A141"/>
    <mergeCell ref="A142:A143"/>
    <mergeCell ref="A144:A145"/>
    <mergeCell ref="A146:A147"/>
    <mergeCell ref="A128:A129"/>
    <mergeCell ref="A130:A131"/>
    <mergeCell ref="A132:A133"/>
    <mergeCell ref="A134:A135"/>
    <mergeCell ref="A136:A137"/>
    <mergeCell ref="A118:A119"/>
    <mergeCell ref="A120:A121"/>
    <mergeCell ref="A122:A123"/>
    <mergeCell ref="A124:A125"/>
    <mergeCell ref="A126:A127"/>
    <mergeCell ref="A108:A109"/>
    <mergeCell ref="A110:A111"/>
    <mergeCell ref="A112:A113"/>
    <mergeCell ref="A114:A115"/>
    <mergeCell ref="A116:A117"/>
    <mergeCell ref="A104:A105"/>
    <mergeCell ref="A106:A107"/>
    <mergeCell ref="A90:A91"/>
    <mergeCell ref="A92:A93"/>
    <mergeCell ref="A94:A95"/>
    <mergeCell ref="A96:A97"/>
    <mergeCell ref="A98:A99"/>
    <mergeCell ref="A84:A85"/>
    <mergeCell ref="A86:A87"/>
    <mergeCell ref="A88:A89"/>
    <mergeCell ref="A100:A101"/>
    <mergeCell ref="A102:A103"/>
    <mergeCell ref="A74:A75"/>
    <mergeCell ref="A76:A77"/>
    <mergeCell ref="A78:A79"/>
    <mergeCell ref="A80:A81"/>
    <mergeCell ref="A82:A83"/>
    <mergeCell ref="A64:A65"/>
    <mergeCell ref="A66:A67"/>
    <mergeCell ref="A68:A69"/>
    <mergeCell ref="A70:A71"/>
    <mergeCell ref="A72:A73"/>
    <mergeCell ref="A54:A55"/>
    <mergeCell ref="A56:A57"/>
    <mergeCell ref="A58:A59"/>
    <mergeCell ref="A60:A61"/>
    <mergeCell ref="A62:A63"/>
    <mergeCell ref="A44:A45"/>
    <mergeCell ref="A46:A47"/>
    <mergeCell ref="A48:A49"/>
    <mergeCell ref="A50:A51"/>
    <mergeCell ref="A52:A53"/>
    <mergeCell ref="A24:A25"/>
    <mergeCell ref="A26:A27"/>
    <mergeCell ref="A28:A29"/>
    <mergeCell ref="A40:A41"/>
    <mergeCell ref="A42:A43"/>
    <mergeCell ref="A30:A31"/>
    <mergeCell ref="A32:A33"/>
    <mergeCell ref="A34:A35"/>
    <mergeCell ref="A36:A37"/>
    <mergeCell ref="A38:A39"/>
    <mergeCell ref="A14:A15"/>
    <mergeCell ref="A16:A17"/>
    <mergeCell ref="A18:A19"/>
    <mergeCell ref="A20:A21"/>
    <mergeCell ref="A22:A23"/>
    <mergeCell ref="A4:A5"/>
    <mergeCell ref="A6:A7"/>
    <mergeCell ref="A8:A9"/>
    <mergeCell ref="A10:A11"/>
    <mergeCell ref="A12:A13"/>
  </mergeCells>
  <phoneticPr fontId="1" type="noConversion"/>
  <conditionalFormatting sqref="B4:F545">
    <cfRule type="containsBlanks" dxfId="0" priority="2">
      <formula>LEN(TRIM(B4))=0</formula>
    </cfRule>
  </conditionalFormatting>
  <pageMargins left="0.7" right="0.7" top="0.75" bottom="0.75" header="0.3" footer="0.3"/>
  <pageSetup paperSize="9" orientation="portrait" r:id="rId1"/>
  <ignoredErrors>
    <ignoredError sqref="B5:F5 B6:F6" 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4</xdr:col>
                <xdr:colOff>333375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122D-45F1-455F-B756-A67F0326E2CE}">
  <sheetPr>
    <tabColor rgb="FFFFFF00"/>
  </sheetPr>
  <dimension ref="B1:F1048576"/>
  <sheetViews>
    <sheetView workbookViewId="0">
      <selection activeCell="B1" sqref="B1:D1"/>
    </sheetView>
  </sheetViews>
  <sheetFormatPr baseColWidth="10" defaultRowHeight="15" x14ac:dyDescent="0.25"/>
  <cols>
    <col min="1" max="1" width="14.42578125" customWidth="1"/>
    <col min="2" max="2" width="22.85546875" customWidth="1"/>
    <col min="3" max="3" width="21.85546875" customWidth="1"/>
    <col min="4" max="4" width="16.7109375" customWidth="1"/>
    <col min="5" max="6" width="20.5703125" customWidth="1"/>
  </cols>
  <sheetData>
    <row r="1" spans="2:6" ht="46.5" customHeight="1" x14ac:dyDescent="0.25">
      <c r="B1" s="46" t="str">
        <f>Index!C2</f>
        <v/>
      </c>
      <c r="C1" s="46"/>
      <c r="D1" s="46"/>
    </row>
    <row r="2" spans="2:6" x14ac:dyDescent="0.25">
      <c r="B2" t="str">
        <f>IF(Index!$B4="","",IF(Index!$B4="'",IF(NOT(Index!$C4=""),IF(Index!$C4="'",IF(NOT(Index!$D4=""),IF(Index!$D4="'",IF(NOT(Index!$E4=""),IF(Index!$E4="'",IF(NOT(Index!$F4=""),IF(Index!$F4="'","",Index!$F4)),Index!$E4)),Index!$D4)),Index!$C4)),Index!$B4))</f>
        <v/>
      </c>
      <c r="C2" t="str">
        <f>IF(B2="","",IF(INDEX(Index!$B4:$F4,1,MATCH(B2,Index!$B4:$F4,0)+1)="'",IF(INDEX(Index!B4:F4,1,MATCH(B2,Index!$B4:$F4,0)+2)="'",IF(INDEX(Index!$B4:$F4,1,MATCH(B2,Index!$B4:$F4,0)+2)="'",IF(INDEX(Index!$B4:$F4,1,MATCH(B2,Index!$B4:$F4,0)+3)="'",IF(INDEX(Index!$B4:$F4,1,MATCH(B2,Index!$B4:$F4,0)+4)="'","",INDEX(Index!$B4:$F4,1,MATCH(B2,Index!$B4:$F4,0)+4)),INDEX(Index!$B4:$F4,1,MATCH(B2,Index!$B4:$F4,0)+3)),INDEX(Index!$B4:$F4,1,MATCH(B2,Index!$B4:$F4,0)+2)),INDEX(Index!$B4:$F4,1,MATCH(B2,Index!$B4:$F4,0)+2)),INDEX(Index!$B4:$F4,1,MATCH(B2,Index!$B4:$F4,0)+1)))</f>
        <v/>
      </c>
      <c r="D2" t="str">
        <f>IF(C2="","",IF(INDEX(Index!$B4:$F4,1,MATCH(C2,Index!$B4:$F4,0)+1)="'",IF(INDEX(Index!C4:G4,1,MATCH(C2,Index!$B4:$F4,0)+2)="'",IF(INDEX(Index!$B4:$F4,1,MATCH(C2,Index!$B4:$F4,0)+2)="'",IF(INDEX(Index!$B4:$F4,1,MATCH(C2,Index!$B4:$F4,0)+3)="'",IF(INDEX(Index!$B4:$F4,1,MATCH(C2,Index!$B4:$F4,0)+4)="'","",INDEX(Index!$B4:$F4,1,MATCH(C2,Index!$B4:$F4,0)+4)),INDEX(Index!$B4:$F4,1,MATCH(C2,Index!$B4:$F4,0)+3)),INDEX(Index!$B4:$F4,1,MATCH(C2,Index!$B4:$F4,0)+2)),INDEX(Index!$B4:$F4,1,MATCH(C2,Index!$B4:$F4,0)+2)),INDEX(Index!$B4:$F4,1,MATCH(C2,Index!$B4:$F4,0)+1)))</f>
        <v/>
      </c>
      <c r="E2" t="str">
        <f>IF(D2="","",IF(INDEX(Index!$B4:$F4,1,MATCH(D2,Index!$B4:$F4,0)+1)="'",IF(INDEX(Index!D4:H4,1,MATCH(D2,Index!$B4:$F4,0)+2)="'",IF(INDEX(Index!$B4:$F4,1,MATCH(D2,Index!$B4:$F4,0)+2)="'",IF(INDEX(Index!$B4:$F4,1,MATCH(D2,Index!$B4:$F4,0)+3)="'",IF(INDEX(Index!$B4:$F4,1,MATCH(D2,Index!$B4:$F4,0)+4)="'","",INDEX(Index!$B4:$F4,1,MATCH(D2,Index!$B4:$F4,0)+4)),INDEX(Index!$B4:$F4,1,MATCH(D2,Index!$B4:$F4,0)+3)),INDEX(Index!$B4:$F4,1,MATCH(D2,Index!$B4:$F4,0)+2)),INDEX(Index!$B4:$F4,1,MATCH(D2,Index!$B4:$F4,0)+2)),INDEX(Index!$B4:$F4,1,MATCH(D2,Index!$B4:$F4,0)+1)))</f>
        <v/>
      </c>
      <c r="F2" t="str">
        <f>IF(E2="","",IF(INDEX(Index!$B4:$F4,1,MATCH(E2,Index!$B4:$F4,0)+1)="'",IF(INDEX(Index!E4:I4,1,MATCH(E2,Index!$B4:$F4,0)+2)="'",IF(INDEX(Index!$B4:$F4,1,MATCH(E2,Index!$B4:$F4,0)+2)="'",IF(INDEX(Index!$B4:$F4,1,MATCH(E2,Index!$B4:$F4,0)+3)="'",IF(INDEX(Index!$B4:$F4,1,MATCH(E2,Index!$B4:$F4,0)+4)="'","",INDEX(Index!$B4:$F4,1,MATCH(E2,Index!$B4:$F4,0)+4)),INDEX(Index!$B4:$F4,1,MATCH(E2,Index!$B4:$F4,0)+3)),INDEX(Index!$B4:$F4,1,MATCH(E2,Index!$B4:$F4,0)+2)),INDEX(Index!$B4:$F4,1,MATCH(E2,Index!$B4:$F4,0)+2)),INDEX(Index!$B4:$F4,1,MATCH(E2,Index!$B4:$F4,0)+1)))</f>
        <v/>
      </c>
    </row>
    <row r="3" spans="2:6" x14ac:dyDescent="0.25">
      <c r="B3" t="str">
        <f>IF(Index!$B5="","",IF(Index!$B5="'",IF(NOT(Index!$C5=""),IF(Index!$C5="'",IF(NOT(Index!$D5=""),IF(Index!$D5="'",IF(NOT(Index!$E5=""),IF(Index!$E5="'",IF(NOT(Index!$F5=""),IF(Index!$F5="'","",Index!$F5)),Index!$E5)),Index!$D5)),Index!$C5)),Index!$B5))</f>
        <v/>
      </c>
      <c r="C3" t="str">
        <f>IF(B3="","",IF(INDEX(Index!$B5:$F5,1,MATCH(B3,Index!$B5:$F5,0)+1)="'",IF(INDEX(Index!B5:F5,1,MATCH(B3,Index!$B5:$F5,0)+2)="'",IF(INDEX(Index!$B5:$F5,1,MATCH(B3,Index!$B5:$F5,0)+2)="'",IF(INDEX(Index!$B5:$F5,1,MATCH(B3,Index!$B5:$F5,0)+3)="'",IF(INDEX(Index!$B5:$F5,1,MATCH(B3,Index!$B5:$F5,0)+4)="'","",INDEX(Index!$B5:$F5,1,MATCH(B3,Index!$B5:$F5,0)+4)),INDEX(Index!$B5:$F5,1,MATCH(B3,Index!$B5:$F5,0)+3)),INDEX(Index!$B5:$F5,1,MATCH(B3,Index!$B5:$F5,0)+2)),INDEX(Index!$B5:$F5,1,MATCH(B3,Index!$B5:$F5,0)+2)),INDEX(Index!$B5:$F5,1,MATCH(B3,Index!$B5:$F5,0)+1)))</f>
        <v/>
      </c>
      <c r="D3" t="str">
        <f>IF(C3="","",IF(INDEX(Index!$B5:$F5,1,MATCH(C3,Index!$B5:$F5,0)+1)="'",IF(INDEX(Index!C5:G5,1,MATCH(C3,Index!$B5:$F5,0)+2)="'",IF(INDEX(Index!$B5:$F5,1,MATCH(C3,Index!$B5:$F5,0)+2)="'",IF(INDEX(Index!$B5:$F5,1,MATCH(C3,Index!$B5:$F5,0)+3)="'",IF(INDEX(Index!$B5:$F5,1,MATCH(C3,Index!$B5:$F5,0)+4)="'","",INDEX(Index!$B5:$F5,1,MATCH(C3,Index!$B5:$F5,0)+4)),INDEX(Index!$B5:$F5,1,MATCH(C3,Index!$B5:$F5,0)+3)),INDEX(Index!$B5:$F5,1,MATCH(C3,Index!$B5:$F5,0)+2)),INDEX(Index!$B5:$F5,1,MATCH(C3,Index!$B5:$F5,0)+2)),INDEX(Index!$B5:$F5,1,MATCH(C3,Index!$B5:$F5,0)+1)))</f>
        <v/>
      </c>
      <c r="E3" t="str">
        <f>IF(D3="","",IF(INDEX(Index!$B5:$F5,1,MATCH(D3,Index!$B5:$F5,0)+1)="'",IF(INDEX(Index!D5:H5,1,MATCH(D3,Index!$B5:$F5,0)+2)="'",IF(INDEX(Index!$B5:$F5,1,MATCH(D3,Index!$B5:$F5,0)+2)="'",IF(INDEX(Index!$B5:$F5,1,MATCH(D3,Index!$B5:$F5,0)+3)="'",IF(INDEX(Index!$B5:$F5,1,MATCH(D3,Index!$B5:$F5,0)+4)="'","",INDEX(Index!$B5:$F5,1,MATCH(D3,Index!$B5:$F5,0)+4)),INDEX(Index!$B5:$F5,1,MATCH(D3,Index!$B5:$F5,0)+3)),INDEX(Index!$B5:$F5,1,MATCH(D3,Index!$B5:$F5,0)+2)),INDEX(Index!$B5:$F5,1,MATCH(D3,Index!$B5:$F5,0)+2)),INDEX(Index!$B5:$F5,1,MATCH(D3,Index!$B5:$F5,0)+1)))</f>
        <v/>
      </c>
      <c r="F3" t="str">
        <f>IF(E3="","",IF(INDEX(Index!$B5:$F5,1,MATCH(E3,Index!$B5:$F5,0)+1)="'",IF(INDEX(Index!E5:I5,1,MATCH(E3,Index!$B5:$F5,0)+2)="'",IF(INDEX(Index!$B5:$F5,1,MATCH(E3,Index!$B5:$F5,0)+2)="'",IF(INDEX(Index!$B5:$F5,1,MATCH(E3,Index!$B5:$F5,0)+3)="'",IF(INDEX(Index!$B5:$F5,1,MATCH(E3,Index!$B5:$F5,0)+4)="'","",INDEX(Index!$B5:$F5,1,MATCH(E3,Index!$B5:$F5,0)+4)),INDEX(Index!$B5:$F5,1,MATCH(E3,Index!$B5:$F5,0)+3)),INDEX(Index!$B5:$F5,1,MATCH(E3,Index!$B5:$F5,0)+2)),INDEX(Index!$B5:$F5,1,MATCH(E3,Index!$B5:$F5,0)+2)),INDEX(Index!$B5:$F5,1,MATCH(E3,Index!$B5:$F5,0)+1)))</f>
        <v/>
      </c>
    </row>
    <row r="4" spans="2:6" x14ac:dyDescent="0.25">
      <c r="B4" t="str">
        <f>IF(Index!$B6="","",IF(Index!$B6="'",IF(NOT(Index!$C6=""),IF(Index!$C6="'",IF(NOT(Index!$D6=""),IF(Index!$D6="'",IF(NOT(Index!$E6=""),IF(Index!$E6="'",IF(NOT(Index!$F6=""),IF(Index!$F6="'","",Index!$F6)),Index!$E6)),Index!$D6)),Index!$C6)),Index!$B6))</f>
        <v/>
      </c>
      <c r="C4" t="str">
        <f>IF(B4="","",IF(INDEX(Index!$B6:$F6,1,MATCH(B4,Index!$B6:$F6,0)+1)="'",IF(INDEX(Index!B6:F6,1,MATCH(B4,Index!$B6:$F6,0)+2)="'",IF(INDEX(Index!$B6:$F6,1,MATCH(B4,Index!$B6:$F6,0)+2)="'",IF(INDEX(Index!$B6:$F6,1,MATCH(B4,Index!$B6:$F6,0)+3)="'",IF(INDEX(Index!$B6:$F6,1,MATCH(B4,Index!$B6:$F6,0)+4)="'","",INDEX(Index!$B6:$F6,1,MATCH(B4,Index!$B6:$F6,0)+4)),INDEX(Index!$B6:$F6,1,MATCH(B4,Index!$B6:$F6,0)+3)),INDEX(Index!$B6:$F6,1,MATCH(B4,Index!$B6:$F6,0)+2)),INDEX(Index!$B6:$F6,1,MATCH(B4,Index!$B6:$F6,0)+2)),INDEX(Index!$B6:$F6,1,MATCH(B4,Index!$B6:$F6,0)+1)))</f>
        <v/>
      </c>
      <c r="D4" t="str">
        <f>IF(C4="","",IF(INDEX(Index!$B6:$F6,1,MATCH(C4,Index!$B6:$F6,0)+1)="'",IF(INDEX(Index!C6:G6,1,MATCH(C4,Index!$B6:$F6,0)+2)="'",IF(INDEX(Index!$B6:$F6,1,MATCH(C4,Index!$B6:$F6,0)+2)="'",IF(INDEX(Index!$B6:$F6,1,MATCH(C4,Index!$B6:$F6,0)+3)="'",IF(INDEX(Index!$B6:$F6,1,MATCH(C4,Index!$B6:$F6,0)+4)="'","",INDEX(Index!$B6:$F6,1,MATCH(C4,Index!$B6:$F6,0)+4)),INDEX(Index!$B6:$F6,1,MATCH(C4,Index!$B6:$F6,0)+3)),INDEX(Index!$B6:$F6,1,MATCH(C4,Index!$B6:$F6,0)+2)),INDEX(Index!$B6:$F6,1,MATCH(C4,Index!$B6:$F6,0)+2)),INDEX(Index!$B6:$F6,1,MATCH(C4,Index!$B6:$F6,0)+1)))</f>
        <v/>
      </c>
      <c r="E4" t="str">
        <f>IF(D4="","",IF(INDEX(Index!$B6:$F6,1,MATCH(D4,Index!$B6:$F6,0)+1)="'",IF(INDEX(Index!D6:H6,1,MATCH(D4,Index!$B6:$F6,0)+2)="'",IF(INDEX(Index!$B6:$F6,1,MATCH(D4,Index!$B6:$F6,0)+2)="'",IF(INDEX(Index!$B6:$F6,1,MATCH(D4,Index!$B6:$F6,0)+3)="'",IF(INDEX(Index!$B6:$F6,1,MATCH(D4,Index!$B6:$F6,0)+4)="'","",INDEX(Index!$B6:$F6,1,MATCH(D4,Index!$B6:$F6,0)+4)),INDEX(Index!$B6:$F6,1,MATCH(D4,Index!$B6:$F6,0)+3)),INDEX(Index!$B6:$F6,1,MATCH(D4,Index!$B6:$F6,0)+2)),INDEX(Index!$B6:$F6,1,MATCH(D4,Index!$B6:$F6,0)+2)),INDEX(Index!$B6:$F6,1,MATCH(D4,Index!$B6:$F6,0)+1)))</f>
        <v/>
      </c>
      <c r="F4" t="str">
        <f>IF(E4="","",IF(INDEX(Index!$B6:$F6,1,MATCH(E4,Index!$B6:$F6,0)+1)="'",IF(INDEX(Index!E6:I6,1,MATCH(E4,Index!$B6:$F6,0)+2)="'",IF(INDEX(Index!$B6:$F6,1,MATCH(E4,Index!$B6:$F6,0)+2)="'",IF(INDEX(Index!$B6:$F6,1,MATCH(E4,Index!$B6:$F6,0)+3)="'",IF(INDEX(Index!$B6:$F6,1,MATCH(E4,Index!$B6:$F6,0)+4)="'","",INDEX(Index!$B6:$F6,1,MATCH(E4,Index!$B6:$F6,0)+4)),INDEX(Index!$B6:$F6,1,MATCH(E4,Index!$B6:$F6,0)+3)),INDEX(Index!$B6:$F6,1,MATCH(E4,Index!$B6:$F6,0)+2)),INDEX(Index!$B6:$F6,1,MATCH(E4,Index!$B6:$F6,0)+2)),INDEX(Index!$B6:$F6,1,MATCH(E4,Index!$B6:$F6,0)+1)))</f>
        <v/>
      </c>
    </row>
    <row r="5" spans="2:6" x14ac:dyDescent="0.25">
      <c r="B5" t="str">
        <f>IF(Index!$B7="","",IF(Index!$B7="'",IF(NOT(Index!$C7=""),IF(Index!$C7="'",IF(NOT(Index!$D7=""),IF(Index!$D7="'",IF(NOT(Index!$E7=""),IF(Index!$E7="'",IF(NOT(Index!$F7=""),IF(Index!$F7="'","",Index!$F7)),Index!$E7)),Index!$D7)),Index!$C7)),Index!$B7))</f>
        <v/>
      </c>
      <c r="C5" t="str">
        <f>IF(B5="","",IF(INDEX(Index!$B7:$F7,1,MATCH(B5,Index!$B7:$F7,0)+1)="'",IF(INDEX(Index!B7:F7,1,MATCH(B5,Index!$B7:$F7,0)+2)="'",IF(INDEX(Index!$B7:$F7,1,MATCH(B5,Index!$B7:$F7,0)+2)="'",IF(INDEX(Index!$B7:$F7,1,MATCH(B5,Index!$B7:$F7,0)+3)="'",IF(INDEX(Index!$B7:$F7,1,MATCH(B5,Index!$B7:$F7,0)+4)="'","",INDEX(Index!$B7:$F7,1,MATCH(B5,Index!$B7:$F7,0)+4)),INDEX(Index!$B7:$F7,1,MATCH(B5,Index!$B7:$F7,0)+3)),INDEX(Index!$B7:$F7,1,MATCH(B5,Index!$B7:$F7,0)+2)),INDEX(Index!$B7:$F7,1,MATCH(B5,Index!$B7:$F7,0)+2)),INDEX(Index!$B7:$F7,1,MATCH(B5,Index!$B7:$F7,0)+1)))</f>
        <v/>
      </c>
      <c r="D5" t="str">
        <f>IF(C5="","",IF(INDEX(Index!$B7:$F7,1,MATCH(C5,Index!$B7:$F7,0)+1)="'",IF(INDEX(Index!C7:G7,1,MATCH(C5,Index!$B7:$F7,0)+2)="'",IF(INDEX(Index!$B7:$F7,1,MATCH(C5,Index!$B7:$F7,0)+2)="'",IF(INDEX(Index!$B7:$F7,1,MATCH(C5,Index!$B7:$F7,0)+3)="'",IF(INDEX(Index!$B7:$F7,1,MATCH(C5,Index!$B7:$F7,0)+4)="'","",INDEX(Index!$B7:$F7,1,MATCH(C5,Index!$B7:$F7,0)+4)),INDEX(Index!$B7:$F7,1,MATCH(C5,Index!$B7:$F7,0)+3)),INDEX(Index!$B7:$F7,1,MATCH(C5,Index!$B7:$F7,0)+2)),INDEX(Index!$B7:$F7,1,MATCH(C5,Index!$B7:$F7,0)+2)),INDEX(Index!$B7:$F7,1,MATCH(C5,Index!$B7:$F7,0)+1)))</f>
        <v/>
      </c>
      <c r="E5" t="str">
        <f>IF(D5="","",IF(INDEX(Index!$B7:$F7,1,MATCH(D5,Index!$B7:$F7,0)+1)="'",IF(INDEX(Index!D7:H7,1,MATCH(D5,Index!$B7:$F7,0)+2)="'",IF(INDEX(Index!$B7:$F7,1,MATCH(D5,Index!$B7:$F7,0)+2)="'",IF(INDEX(Index!$B7:$F7,1,MATCH(D5,Index!$B7:$F7,0)+3)="'",IF(INDEX(Index!$B7:$F7,1,MATCH(D5,Index!$B7:$F7,0)+4)="'","",INDEX(Index!$B7:$F7,1,MATCH(D5,Index!$B7:$F7,0)+4)),INDEX(Index!$B7:$F7,1,MATCH(D5,Index!$B7:$F7,0)+3)),INDEX(Index!$B7:$F7,1,MATCH(D5,Index!$B7:$F7,0)+2)),INDEX(Index!$B7:$F7,1,MATCH(D5,Index!$B7:$F7,0)+2)),INDEX(Index!$B7:$F7,1,MATCH(D5,Index!$B7:$F7,0)+1)))</f>
        <v/>
      </c>
      <c r="F5" t="str">
        <f>IF(E5="","",IF(INDEX(Index!$B7:$F7,1,MATCH(E5,Index!$B7:$F7,0)+1)="'",IF(INDEX(Index!E7:I7,1,MATCH(E5,Index!$B7:$F7,0)+2)="'",IF(INDEX(Index!$B7:$F7,1,MATCH(E5,Index!$B7:$F7,0)+2)="'",IF(INDEX(Index!$B7:$F7,1,MATCH(E5,Index!$B7:$F7,0)+3)="'",IF(INDEX(Index!$B7:$F7,1,MATCH(E5,Index!$B7:$F7,0)+4)="'","",INDEX(Index!$B7:$F7,1,MATCH(E5,Index!$B7:$F7,0)+4)),INDEX(Index!$B7:$F7,1,MATCH(E5,Index!$B7:$F7,0)+3)),INDEX(Index!$B7:$F7,1,MATCH(E5,Index!$B7:$F7,0)+2)),INDEX(Index!$B7:$F7,1,MATCH(E5,Index!$B7:$F7,0)+2)),INDEX(Index!$B7:$F7,1,MATCH(E5,Index!$B7:$F7,0)+1)))</f>
        <v/>
      </c>
    </row>
    <row r="6" spans="2:6" x14ac:dyDescent="0.25">
      <c r="B6" t="str">
        <f>IF(Index!$B8="","",IF(Index!$B8="'",IF(NOT(Index!$C8=""),IF(Index!$C8="'",IF(NOT(Index!$D8=""),IF(Index!$D8="'",IF(NOT(Index!$E8=""),IF(Index!$E8="'",IF(NOT(Index!$F8=""),IF(Index!$F8="'","",Index!$F8)),Index!$E8)),Index!$D8)),Index!$C8)),Index!$B8))</f>
        <v/>
      </c>
      <c r="C6" t="str">
        <f>IF(B6="","",IF(INDEX(Index!$B8:$F8,1,MATCH(B6,Index!$B8:$F8,0)+1)="'",IF(INDEX(Index!B8:F8,1,MATCH(B6,Index!$B8:$F8,0)+2)="'",IF(INDEX(Index!$B8:$F8,1,MATCH(B6,Index!$B8:$F8,0)+2)="'",IF(INDEX(Index!$B8:$F8,1,MATCH(B6,Index!$B8:$F8,0)+3)="'",IF(INDEX(Index!$B8:$F8,1,MATCH(B6,Index!$B8:$F8,0)+4)="'","",INDEX(Index!$B8:$F8,1,MATCH(B6,Index!$B8:$F8,0)+4)),INDEX(Index!$B8:$F8,1,MATCH(B6,Index!$B8:$F8,0)+3)),INDEX(Index!$B8:$F8,1,MATCH(B6,Index!$B8:$F8,0)+2)),INDEX(Index!$B8:$F8,1,MATCH(B6,Index!$B8:$F8,0)+2)),INDEX(Index!$B8:$F8,1,MATCH(B6,Index!$B8:$F8,0)+1)))</f>
        <v/>
      </c>
      <c r="D6" t="str">
        <f>IF(C6="","",IF(INDEX(Index!$B8:$F8,1,MATCH(C6,Index!$B8:$F8,0)+1)="'",IF(INDEX(Index!C8:G8,1,MATCH(C6,Index!$B8:$F8,0)+2)="'",IF(INDEX(Index!$B8:$F8,1,MATCH(C6,Index!$B8:$F8,0)+2)="'",IF(INDEX(Index!$B8:$F8,1,MATCH(C6,Index!$B8:$F8,0)+3)="'",IF(INDEX(Index!$B8:$F8,1,MATCH(C6,Index!$B8:$F8,0)+4)="'","",INDEX(Index!$B8:$F8,1,MATCH(C6,Index!$B8:$F8,0)+4)),INDEX(Index!$B8:$F8,1,MATCH(C6,Index!$B8:$F8,0)+3)),INDEX(Index!$B8:$F8,1,MATCH(C6,Index!$B8:$F8,0)+2)),INDEX(Index!$B8:$F8,1,MATCH(C6,Index!$B8:$F8,0)+2)),INDEX(Index!$B8:$F8,1,MATCH(C6,Index!$B8:$F8,0)+1)))</f>
        <v/>
      </c>
      <c r="E6" t="str">
        <f>IF(D6="","",IF(INDEX(Index!$B8:$F8,1,MATCH(D6,Index!$B8:$F8,0)+1)="'",IF(INDEX(Index!D8:H8,1,MATCH(D6,Index!$B8:$F8,0)+2)="'",IF(INDEX(Index!$B8:$F8,1,MATCH(D6,Index!$B8:$F8,0)+2)="'",IF(INDEX(Index!$B8:$F8,1,MATCH(D6,Index!$B8:$F8,0)+3)="'",IF(INDEX(Index!$B8:$F8,1,MATCH(D6,Index!$B8:$F8,0)+4)="'","",INDEX(Index!$B8:$F8,1,MATCH(D6,Index!$B8:$F8,0)+4)),INDEX(Index!$B8:$F8,1,MATCH(D6,Index!$B8:$F8,0)+3)),INDEX(Index!$B8:$F8,1,MATCH(D6,Index!$B8:$F8,0)+2)),INDEX(Index!$B8:$F8,1,MATCH(D6,Index!$B8:$F8,0)+2)),INDEX(Index!$B8:$F8,1,MATCH(D6,Index!$B8:$F8,0)+1)))</f>
        <v/>
      </c>
      <c r="F6" t="str">
        <f>IF(E6="","",IF(INDEX(Index!$B8:$F8,1,MATCH(E6,Index!$B8:$F8,0)+1)="'",IF(INDEX(Index!E8:I8,1,MATCH(E6,Index!$B8:$F8,0)+2)="'",IF(INDEX(Index!$B8:$F8,1,MATCH(E6,Index!$B8:$F8,0)+2)="'",IF(INDEX(Index!$B8:$F8,1,MATCH(E6,Index!$B8:$F8,0)+3)="'",IF(INDEX(Index!$B8:$F8,1,MATCH(E6,Index!$B8:$F8,0)+4)="'","",INDEX(Index!$B8:$F8,1,MATCH(E6,Index!$B8:$F8,0)+4)),INDEX(Index!$B8:$F8,1,MATCH(E6,Index!$B8:$F8,0)+3)),INDEX(Index!$B8:$F8,1,MATCH(E6,Index!$B8:$F8,0)+2)),INDEX(Index!$B8:$F8,1,MATCH(E6,Index!$B8:$F8,0)+2)),INDEX(Index!$B8:$F8,1,MATCH(E6,Index!$B8:$F8,0)+1)))</f>
        <v/>
      </c>
    </row>
    <row r="7" spans="2:6" x14ac:dyDescent="0.25">
      <c r="B7" t="str">
        <f>IF(Index!$B9="","",IF(Index!$B9="'",IF(NOT(Index!$C9=""),IF(Index!$C9="'",IF(NOT(Index!$D9=""),IF(Index!$D9="'",IF(NOT(Index!$E9=""),IF(Index!$E9="'",IF(NOT(Index!$F9=""),IF(Index!$F9="'","",Index!$F9)),Index!$E9)),Index!$D9)),Index!$C9)),Index!$B9))</f>
        <v/>
      </c>
      <c r="C7" t="str">
        <f>IF(B7="","",IF(INDEX(Index!$B9:$F9,1,MATCH(B7,Index!$B9:$F9,0)+1)="'",IF(INDEX(Index!B9:F9,1,MATCH(B7,Index!$B9:$F9,0)+2)="'",IF(INDEX(Index!$B9:$F9,1,MATCH(B7,Index!$B9:$F9,0)+2)="'",IF(INDEX(Index!$B9:$F9,1,MATCH(B7,Index!$B9:$F9,0)+3)="'",IF(INDEX(Index!$B9:$F9,1,MATCH(B7,Index!$B9:$F9,0)+4)="'","",INDEX(Index!$B9:$F9,1,MATCH(B7,Index!$B9:$F9,0)+4)),INDEX(Index!$B9:$F9,1,MATCH(B7,Index!$B9:$F9,0)+3)),INDEX(Index!$B9:$F9,1,MATCH(B7,Index!$B9:$F9,0)+2)),INDEX(Index!$B9:$F9,1,MATCH(B7,Index!$B9:$F9,0)+2)),INDEX(Index!$B9:$F9,1,MATCH(B7,Index!$B9:$F9,0)+1)))</f>
        <v/>
      </c>
      <c r="D7" t="str">
        <f>IF(C7="","",IF(INDEX(Index!$B9:$F9,1,MATCH(C7,Index!$B9:$F9,0)+1)="'",IF(INDEX(Index!C9:G9,1,MATCH(C7,Index!$B9:$F9,0)+2)="'",IF(INDEX(Index!$B9:$F9,1,MATCH(C7,Index!$B9:$F9,0)+2)="'",IF(INDEX(Index!$B9:$F9,1,MATCH(C7,Index!$B9:$F9,0)+3)="'",IF(INDEX(Index!$B9:$F9,1,MATCH(C7,Index!$B9:$F9,0)+4)="'","",INDEX(Index!$B9:$F9,1,MATCH(C7,Index!$B9:$F9,0)+4)),INDEX(Index!$B9:$F9,1,MATCH(C7,Index!$B9:$F9,0)+3)),INDEX(Index!$B9:$F9,1,MATCH(C7,Index!$B9:$F9,0)+2)),INDEX(Index!$B9:$F9,1,MATCH(C7,Index!$B9:$F9,0)+2)),INDEX(Index!$B9:$F9,1,MATCH(C7,Index!$B9:$F9,0)+1)))</f>
        <v/>
      </c>
      <c r="E7" t="str">
        <f>IF(D7="","",IF(INDEX(Index!$B9:$F9,1,MATCH(D7,Index!$B9:$F9,0)+1)="'",IF(INDEX(Index!D9:H9,1,MATCH(D7,Index!$B9:$F9,0)+2)="'",IF(INDEX(Index!$B9:$F9,1,MATCH(D7,Index!$B9:$F9,0)+2)="'",IF(INDEX(Index!$B9:$F9,1,MATCH(D7,Index!$B9:$F9,0)+3)="'",IF(INDEX(Index!$B9:$F9,1,MATCH(D7,Index!$B9:$F9,0)+4)="'","",INDEX(Index!$B9:$F9,1,MATCH(D7,Index!$B9:$F9,0)+4)),INDEX(Index!$B9:$F9,1,MATCH(D7,Index!$B9:$F9,0)+3)),INDEX(Index!$B9:$F9,1,MATCH(D7,Index!$B9:$F9,0)+2)),INDEX(Index!$B9:$F9,1,MATCH(D7,Index!$B9:$F9,0)+2)),INDEX(Index!$B9:$F9,1,MATCH(D7,Index!$B9:$F9,0)+1)))</f>
        <v/>
      </c>
      <c r="F7" t="str">
        <f>IF(E7="","",IF(INDEX(Index!$B9:$F9,1,MATCH(E7,Index!$B9:$F9,0)+1)="'",IF(INDEX(Index!E9:I9,1,MATCH(E7,Index!$B9:$F9,0)+2)="'",IF(INDEX(Index!$B9:$F9,1,MATCH(E7,Index!$B9:$F9,0)+2)="'",IF(INDEX(Index!$B9:$F9,1,MATCH(E7,Index!$B9:$F9,0)+3)="'",IF(INDEX(Index!$B9:$F9,1,MATCH(E7,Index!$B9:$F9,0)+4)="'","",INDEX(Index!$B9:$F9,1,MATCH(E7,Index!$B9:$F9,0)+4)),INDEX(Index!$B9:$F9,1,MATCH(E7,Index!$B9:$F9,0)+3)),INDEX(Index!$B9:$F9,1,MATCH(E7,Index!$B9:$F9,0)+2)),INDEX(Index!$B9:$F9,1,MATCH(E7,Index!$B9:$F9,0)+2)),INDEX(Index!$B9:$F9,1,MATCH(E7,Index!$B9:$F9,0)+1)))</f>
        <v/>
      </c>
    </row>
    <row r="8" spans="2:6" x14ac:dyDescent="0.25">
      <c r="B8" t="str">
        <f>IF(Index!$B10="","",IF(Index!$B10="'",IF(NOT(Index!$C10=""),IF(Index!$C10="'",IF(NOT(Index!$D10=""),IF(Index!$D10="'",IF(NOT(Index!$E10=""),IF(Index!$E10="'",IF(NOT(Index!$F10=""),IF(Index!$F10="'","",Index!$F10)),Index!$E10)),Index!$D10)),Index!$C10)),Index!$B10))</f>
        <v/>
      </c>
      <c r="C8" t="str">
        <f>IF(B8="","",IF(INDEX(Index!$B10:$F10,1,MATCH(B8,Index!$B10:$F10,0)+1)="'",IF(INDEX(Index!B10:F10,1,MATCH(B8,Index!$B10:$F10,0)+2)="'",IF(INDEX(Index!$B10:$F10,1,MATCH(B8,Index!$B10:$F10,0)+2)="'",IF(INDEX(Index!$B10:$F10,1,MATCH(B8,Index!$B10:$F10,0)+3)="'",IF(INDEX(Index!$B10:$F10,1,MATCH(B8,Index!$B10:$F10,0)+4)="'","",INDEX(Index!$B10:$F10,1,MATCH(B8,Index!$B10:$F10,0)+4)),INDEX(Index!$B10:$F10,1,MATCH(B8,Index!$B10:$F10,0)+3)),INDEX(Index!$B10:$F10,1,MATCH(B8,Index!$B10:$F10,0)+2)),INDEX(Index!$B10:$F10,1,MATCH(B8,Index!$B10:$F10,0)+2)),INDEX(Index!$B10:$F10,1,MATCH(B8,Index!$B10:$F10,0)+1)))</f>
        <v/>
      </c>
      <c r="D8" t="str">
        <f>IF(C8="","",IF(INDEX(Index!$B10:$F10,1,MATCH(C8,Index!$B10:$F10,0)+1)="'",IF(INDEX(Index!C10:G10,1,MATCH(C8,Index!$B10:$F10,0)+2)="'",IF(INDEX(Index!$B10:$F10,1,MATCH(C8,Index!$B10:$F10,0)+2)="'",IF(INDEX(Index!$B10:$F10,1,MATCH(C8,Index!$B10:$F10,0)+3)="'",IF(INDEX(Index!$B10:$F10,1,MATCH(C8,Index!$B10:$F10,0)+4)="'","",INDEX(Index!$B10:$F10,1,MATCH(C8,Index!$B10:$F10,0)+4)),INDEX(Index!$B10:$F10,1,MATCH(C8,Index!$B10:$F10,0)+3)),INDEX(Index!$B10:$F10,1,MATCH(C8,Index!$B10:$F10,0)+2)),INDEX(Index!$B10:$F10,1,MATCH(C8,Index!$B10:$F10,0)+2)),INDEX(Index!$B10:$F10,1,MATCH(C8,Index!$B10:$F10,0)+1)))</f>
        <v/>
      </c>
      <c r="E8" t="str">
        <f>IF(D8="","",IF(INDEX(Index!$B10:$F10,1,MATCH(D8,Index!$B10:$F10,0)+1)="'",IF(INDEX(Index!D10:H10,1,MATCH(D8,Index!$B10:$F10,0)+2)="'",IF(INDEX(Index!$B10:$F10,1,MATCH(D8,Index!$B10:$F10,0)+2)="'",IF(INDEX(Index!$B10:$F10,1,MATCH(D8,Index!$B10:$F10,0)+3)="'",IF(INDEX(Index!$B10:$F10,1,MATCH(D8,Index!$B10:$F10,0)+4)="'","",INDEX(Index!$B10:$F10,1,MATCH(D8,Index!$B10:$F10,0)+4)),INDEX(Index!$B10:$F10,1,MATCH(D8,Index!$B10:$F10,0)+3)),INDEX(Index!$B10:$F10,1,MATCH(D8,Index!$B10:$F10,0)+2)),INDEX(Index!$B10:$F10,1,MATCH(D8,Index!$B10:$F10,0)+2)),INDEX(Index!$B10:$F10,1,MATCH(D8,Index!$B10:$F10,0)+1)))</f>
        <v/>
      </c>
      <c r="F8" t="str">
        <f>IF(E8="","",IF(INDEX(Index!$B10:$F10,1,MATCH(E8,Index!$B10:$F10,0)+1)="'",IF(INDEX(Index!E10:I10,1,MATCH(E8,Index!$B10:$F10,0)+2)="'",IF(INDEX(Index!$B10:$F10,1,MATCH(E8,Index!$B10:$F10,0)+2)="'",IF(INDEX(Index!$B10:$F10,1,MATCH(E8,Index!$B10:$F10,0)+3)="'",IF(INDEX(Index!$B10:$F10,1,MATCH(E8,Index!$B10:$F10,0)+4)="'","",INDEX(Index!$B10:$F10,1,MATCH(E8,Index!$B10:$F10,0)+4)),INDEX(Index!$B10:$F10,1,MATCH(E8,Index!$B10:$F10,0)+3)),INDEX(Index!$B10:$F10,1,MATCH(E8,Index!$B10:$F10,0)+2)),INDEX(Index!$B10:$F10,1,MATCH(E8,Index!$B10:$F10,0)+2)),INDEX(Index!$B10:$F10,1,MATCH(E8,Index!$B10:$F10,0)+1)))</f>
        <v/>
      </c>
    </row>
    <row r="9" spans="2:6" x14ac:dyDescent="0.25">
      <c r="B9" t="str">
        <f>IF(Index!$B11="","",IF(Index!$B11="'",IF(NOT(Index!$C11=""),IF(Index!$C11="'",IF(NOT(Index!$D11=""),IF(Index!$D11="'",IF(NOT(Index!$E11=""),IF(Index!$E11="'",IF(NOT(Index!$F11=""),IF(Index!$F11="'","",Index!$F11)),Index!$E11)),Index!$D11)),Index!$C11)),Index!$B11))</f>
        <v/>
      </c>
      <c r="C9" t="str">
        <f>IF(B9="","",IF(INDEX(Index!$B11:$F11,1,MATCH(B9,Index!$B11:$F11,0)+1)="'",IF(INDEX(Index!B11:F11,1,MATCH(B9,Index!$B11:$F11,0)+2)="'",IF(INDEX(Index!$B11:$F11,1,MATCH(B9,Index!$B11:$F11,0)+2)="'",IF(INDEX(Index!$B11:$F11,1,MATCH(B9,Index!$B11:$F11,0)+3)="'",IF(INDEX(Index!$B11:$F11,1,MATCH(B9,Index!$B11:$F11,0)+4)="'","",INDEX(Index!$B11:$F11,1,MATCH(B9,Index!$B11:$F11,0)+4)),INDEX(Index!$B11:$F11,1,MATCH(B9,Index!$B11:$F11,0)+3)),INDEX(Index!$B11:$F11,1,MATCH(B9,Index!$B11:$F11,0)+2)),INDEX(Index!$B11:$F11,1,MATCH(B9,Index!$B11:$F11,0)+2)),INDEX(Index!$B11:$F11,1,MATCH(B9,Index!$B11:$F11,0)+1)))</f>
        <v/>
      </c>
      <c r="D9" t="str">
        <f>IF(C9="","",IF(INDEX(Index!$B11:$F11,1,MATCH(C9,Index!$B11:$F11,0)+1)="'",IF(INDEX(Index!C11:G11,1,MATCH(C9,Index!$B11:$F11,0)+2)="'",IF(INDEX(Index!$B11:$F11,1,MATCH(C9,Index!$B11:$F11,0)+2)="'",IF(INDEX(Index!$B11:$F11,1,MATCH(C9,Index!$B11:$F11,0)+3)="'",IF(INDEX(Index!$B11:$F11,1,MATCH(C9,Index!$B11:$F11,0)+4)="'","",INDEX(Index!$B11:$F11,1,MATCH(C9,Index!$B11:$F11,0)+4)),INDEX(Index!$B11:$F11,1,MATCH(C9,Index!$B11:$F11,0)+3)),INDEX(Index!$B11:$F11,1,MATCH(C9,Index!$B11:$F11,0)+2)),INDEX(Index!$B11:$F11,1,MATCH(C9,Index!$B11:$F11,0)+2)),INDEX(Index!$B11:$F11,1,MATCH(C9,Index!$B11:$F11,0)+1)))</f>
        <v/>
      </c>
      <c r="E9" t="str">
        <f>IF(D9="","",IF(INDEX(Index!$B11:$F11,1,MATCH(D9,Index!$B11:$F11,0)+1)="'",IF(INDEX(Index!D11:H11,1,MATCH(D9,Index!$B11:$F11,0)+2)="'",IF(INDEX(Index!$B11:$F11,1,MATCH(D9,Index!$B11:$F11,0)+2)="'",IF(INDEX(Index!$B11:$F11,1,MATCH(D9,Index!$B11:$F11,0)+3)="'",IF(INDEX(Index!$B11:$F11,1,MATCH(D9,Index!$B11:$F11,0)+4)="'","",INDEX(Index!$B11:$F11,1,MATCH(D9,Index!$B11:$F11,0)+4)),INDEX(Index!$B11:$F11,1,MATCH(D9,Index!$B11:$F11,0)+3)),INDEX(Index!$B11:$F11,1,MATCH(D9,Index!$B11:$F11,0)+2)),INDEX(Index!$B11:$F11,1,MATCH(D9,Index!$B11:$F11,0)+2)),INDEX(Index!$B11:$F11,1,MATCH(D9,Index!$B11:$F11,0)+1)))</f>
        <v/>
      </c>
      <c r="F9" t="str">
        <f>IF(E9="","",IF(INDEX(Index!$B11:$F11,1,MATCH(E9,Index!$B11:$F11,0)+1)="'",IF(INDEX(Index!E11:I11,1,MATCH(E9,Index!$B11:$F11,0)+2)="'",IF(INDEX(Index!$B11:$F11,1,MATCH(E9,Index!$B11:$F11,0)+2)="'",IF(INDEX(Index!$B11:$F11,1,MATCH(E9,Index!$B11:$F11,0)+3)="'",IF(INDEX(Index!$B11:$F11,1,MATCH(E9,Index!$B11:$F11,0)+4)="'","",INDEX(Index!$B11:$F11,1,MATCH(E9,Index!$B11:$F11,0)+4)),INDEX(Index!$B11:$F11,1,MATCH(E9,Index!$B11:$F11,0)+3)),INDEX(Index!$B11:$F11,1,MATCH(E9,Index!$B11:$F11,0)+2)),INDEX(Index!$B11:$F11,1,MATCH(E9,Index!$B11:$F11,0)+2)),INDEX(Index!$B11:$F11,1,MATCH(E9,Index!$B11:$F11,0)+1)))</f>
        <v/>
      </c>
    </row>
    <row r="10" spans="2:6" x14ac:dyDescent="0.25">
      <c r="B10" t="str">
        <f>IF(Index!$B12="","",IF(Index!$B12="'",IF(NOT(Index!$C12=""),IF(Index!$C12="'",IF(NOT(Index!$D12=""),IF(Index!$D12="'",IF(NOT(Index!$E12=""),IF(Index!$E12="'",IF(NOT(Index!$F12=""),IF(Index!$F12="'","",Index!$F12)),Index!$E12)),Index!$D12)),Index!$C12)),Index!$B12))</f>
        <v/>
      </c>
      <c r="C10" t="str">
        <f>IF(B10="","",IF(INDEX(Index!$B12:$F12,1,MATCH(B10,Index!$B12:$F12,0)+1)="'",IF(INDEX(Index!B12:F12,1,MATCH(B10,Index!$B12:$F12,0)+2)="'",IF(INDEX(Index!$B12:$F12,1,MATCH(B10,Index!$B12:$F12,0)+2)="'",IF(INDEX(Index!$B12:$F12,1,MATCH(B10,Index!$B12:$F12,0)+3)="'",IF(INDEX(Index!$B12:$F12,1,MATCH(B10,Index!$B12:$F12,0)+4)="'","",INDEX(Index!$B12:$F12,1,MATCH(B10,Index!$B12:$F12,0)+4)),INDEX(Index!$B12:$F12,1,MATCH(B10,Index!$B12:$F12,0)+3)),INDEX(Index!$B12:$F12,1,MATCH(B10,Index!$B12:$F12,0)+2)),INDEX(Index!$B12:$F12,1,MATCH(B10,Index!$B12:$F12,0)+2)),INDEX(Index!$B12:$F12,1,MATCH(B10,Index!$B12:$F12,0)+1)))</f>
        <v/>
      </c>
      <c r="D10" t="str">
        <f>IF(C10="","",IF(INDEX(Index!$B12:$F12,1,MATCH(C10,Index!$B12:$F12,0)+1)="'",IF(INDEX(Index!C12:G12,1,MATCH(C10,Index!$B12:$F12,0)+2)="'",IF(INDEX(Index!$B12:$F12,1,MATCH(C10,Index!$B12:$F12,0)+2)="'",IF(INDEX(Index!$B12:$F12,1,MATCH(C10,Index!$B12:$F12,0)+3)="'",IF(INDEX(Index!$B12:$F12,1,MATCH(C10,Index!$B12:$F12,0)+4)="'","",INDEX(Index!$B12:$F12,1,MATCH(C10,Index!$B12:$F12,0)+4)),INDEX(Index!$B12:$F12,1,MATCH(C10,Index!$B12:$F12,0)+3)),INDEX(Index!$B12:$F12,1,MATCH(C10,Index!$B12:$F12,0)+2)),INDEX(Index!$B12:$F12,1,MATCH(C10,Index!$B12:$F12,0)+2)),INDEX(Index!$B12:$F12,1,MATCH(C10,Index!$B12:$F12,0)+1)))</f>
        <v/>
      </c>
      <c r="E10" t="str">
        <f>IF(D10="","",IF(INDEX(Index!$B12:$F12,1,MATCH(D10,Index!$B12:$F12,0)+1)="'",IF(INDEX(Index!D12:H12,1,MATCH(D10,Index!$B12:$F12,0)+2)="'",IF(INDEX(Index!$B12:$F12,1,MATCH(D10,Index!$B12:$F12,0)+2)="'",IF(INDEX(Index!$B12:$F12,1,MATCH(D10,Index!$B12:$F12,0)+3)="'",IF(INDEX(Index!$B12:$F12,1,MATCH(D10,Index!$B12:$F12,0)+4)="'","",INDEX(Index!$B12:$F12,1,MATCH(D10,Index!$B12:$F12,0)+4)),INDEX(Index!$B12:$F12,1,MATCH(D10,Index!$B12:$F12,0)+3)),INDEX(Index!$B12:$F12,1,MATCH(D10,Index!$B12:$F12,0)+2)),INDEX(Index!$B12:$F12,1,MATCH(D10,Index!$B12:$F12,0)+2)),INDEX(Index!$B12:$F12,1,MATCH(D10,Index!$B12:$F12,0)+1)))</f>
        <v/>
      </c>
      <c r="F10" t="str">
        <f>IF(E10="","",IF(INDEX(Index!$B12:$F12,1,MATCH(E10,Index!$B12:$F12,0)+1)="'",IF(INDEX(Index!E12:I12,1,MATCH(E10,Index!$B12:$F12,0)+2)="'",IF(INDEX(Index!$B12:$F12,1,MATCH(E10,Index!$B12:$F12,0)+2)="'",IF(INDEX(Index!$B12:$F12,1,MATCH(E10,Index!$B12:$F12,0)+3)="'",IF(INDEX(Index!$B12:$F12,1,MATCH(E10,Index!$B12:$F12,0)+4)="'","",INDEX(Index!$B12:$F12,1,MATCH(E10,Index!$B12:$F12,0)+4)),INDEX(Index!$B12:$F12,1,MATCH(E10,Index!$B12:$F12,0)+3)),INDEX(Index!$B12:$F12,1,MATCH(E10,Index!$B12:$F12,0)+2)),INDEX(Index!$B12:$F12,1,MATCH(E10,Index!$B12:$F12,0)+2)),INDEX(Index!$B12:$F12,1,MATCH(E10,Index!$B12:$F12,0)+1)))</f>
        <v/>
      </c>
    </row>
    <row r="11" spans="2:6" x14ac:dyDescent="0.25">
      <c r="B11" t="str">
        <f>IF(Index!$B13="","",IF(Index!$B13="'",IF(NOT(Index!$C13=""),IF(Index!$C13="'",IF(NOT(Index!$D13=""),IF(Index!$D13="'",IF(NOT(Index!$E13=""),IF(Index!$E13="'",IF(NOT(Index!$F13=""),IF(Index!$F13="'","",Index!$F13)),Index!$E13)),Index!$D13)),Index!$C13)),Index!$B13))</f>
        <v/>
      </c>
      <c r="C11" t="str">
        <f>IF(B11="","",IF(INDEX(Index!$B13:$F13,1,MATCH(B11,Index!$B13:$F13,0)+1)="'",IF(INDEX(Index!B13:F13,1,MATCH(B11,Index!$B13:$F13,0)+2)="'",IF(INDEX(Index!$B13:$F13,1,MATCH(B11,Index!$B13:$F13,0)+2)="'",IF(INDEX(Index!$B13:$F13,1,MATCH(B11,Index!$B13:$F13,0)+3)="'",IF(INDEX(Index!$B13:$F13,1,MATCH(B11,Index!$B13:$F13,0)+4)="'","",INDEX(Index!$B13:$F13,1,MATCH(B11,Index!$B13:$F13,0)+4)),INDEX(Index!$B13:$F13,1,MATCH(B11,Index!$B13:$F13,0)+3)),INDEX(Index!$B13:$F13,1,MATCH(B11,Index!$B13:$F13,0)+2)),INDEX(Index!$B13:$F13,1,MATCH(B11,Index!$B13:$F13,0)+2)),INDEX(Index!$B13:$F13,1,MATCH(B11,Index!$B13:$F13,0)+1)))</f>
        <v/>
      </c>
      <c r="D11" t="str">
        <f>IF(C11="","",IF(INDEX(Index!$B13:$F13,1,MATCH(C11,Index!$B13:$F13,0)+1)="'",IF(INDEX(Index!C13:G13,1,MATCH(C11,Index!$B13:$F13,0)+2)="'",IF(INDEX(Index!$B13:$F13,1,MATCH(C11,Index!$B13:$F13,0)+2)="'",IF(INDEX(Index!$B13:$F13,1,MATCH(C11,Index!$B13:$F13,0)+3)="'",IF(INDEX(Index!$B13:$F13,1,MATCH(C11,Index!$B13:$F13,0)+4)="'","",INDEX(Index!$B13:$F13,1,MATCH(C11,Index!$B13:$F13,0)+4)),INDEX(Index!$B13:$F13,1,MATCH(C11,Index!$B13:$F13,0)+3)),INDEX(Index!$B13:$F13,1,MATCH(C11,Index!$B13:$F13,0)+2)),INDEX(Index!$B13:$F13,1,MATCH(C11,Index!$B13:$F13,0)+2)),INDEX(Index!$B13:$F13,1,MATCH(C11,Index!$B13:$F13,0)+1)))</f>
        <v/>
      </c>
      <c r="E11" t="str">
        <f>IF(D11="","",IF(INDEX(Index!$B13:$F13,1,MATCH(D11,Index!$B13:$F13,0)+1)="'",IF(INDEX(Index!D13:H13,1,MATCH(D11,Index!$B13:$F13,0)+2)="'",IF(INDEX(Index!$B13:$F13,1,MATCH(D11,Index!$B13:$F13,0)+2)="'",IF(INDEX(Index!$B13:$F13,1,MATCH(D11,Index!$B13:$F13,0)+3)="'",IF(INDEX(Index!$B13:$F13,1,MATCH(D11,Index!$B13:$F13,0)+4)="'","",INDEX(Index!$B13:$F13,1,MATCH(D11,Index!$B13:$F13,0)+4)),INDEX(Index!$B13:$F13,1,MATCH(D11,Index!$B13:$F13,0)+3)),INDEX(Index!$B13:$F13,1,MATCH(D11,Index!$B13:$F13,0)+2)),INDEX(Index!$B13:$F13,1,MATCH(D11,Index!$B13:$F13,0)+2)),INDEX(Index!$B13:$F13,1,MATCH(D11,Index!$B13:$F13,0)+1)))</f>
        <v/>
      </c>
      <c r="F11" t="str">
        <f>IF(E11="","",IF(INDEX(Index!$B13:$F13,1,MATCH(E11,Index!$B13:$F13,0)+1)="'",IF(INDEX(Index!E13:I13,1,MATCH(E11,Index!$B13:$F13,0)+2)="'",IF(INDEX(Index!$B13:$F13,1,MATCH(E11,Index!$B13:$F13,0)+2)="'",IF(INDEX(Index!$B13:$F13,1,MATCH(E11,Index!$B13:$F13,0)+3)="'",IF(INDEX(Index!$B13:$F13,1,MATCH(E11,Index!$B13:$F13,0)+4)="'","",INDEX(Index!$B13:$F13,1,MATCH(E11,Index!$B13:$F13,0)+4)),INDEX(Index!$B13:$F13,1,MATCH(E11,Index!$B13:$F13,0)+3)),INDEX(Index!$B13:$F13,1,MATCH(E11,Index!$B13:$F13,0)+2)),INDEX(Index!$B13:$F13,1,MATCH(E11,Index!$B13:$F13,0)+2)),INDEX(Index!$B13:$F13,1,MATCH(E11,Index!$B13:$F13,0)+1)))</f>
        <v/>
      </c>
    </row>
    <row r="12" spans="2:6" x14ac:dyDescent="0.25">
      <c r="B12" t="str">
        <f>IF(Index!$B14="","",IF(Index!$B14="'",IF(NOT(Index!$C14=""),IF(Index!$C14="'",IF(NOT(Index!$D14=""),IF(Index!$D14="'",IF(NOT(Index!$E14=""),IF(Index!$E14="'",IF(NOT(Index!$F14=""),IF(Index!$F14="'","",Index!$F14)),Index!$E14)),Index!$D14)),Index!$C14)),Index!$B14))</f>
        <v/>
      </c>
      <c r="C12" t="str">
        <f>IF(B12="","",IF(INDEX(Index!$B14:$F14,1,MATCH(B12,Index!$B14:$F14,0)+1)="'",IF(INDEX(Index!B14:F14,1,MATCH(B12,Index!$B14:$F14,0)+2)="'",IF(INDEX(Index!$B14:$F14,1,MATCH(B12,Index!$B14:$F14,0)+2)="'",IF(INDEX(Index!$B14:$F14,1,MATCH(B12,Index!$B14:$F14,0)+3)="'",IF(INDEX(Index!$B14:$F14,1,MATCH(B12,Index!$B14:$F14,0)+4)="'","",INDEX(Index!$B14:$F14,1,MATCH(B12,Index!$B14:$F14,0)+4)),INDEX(Index!$B14:$F14,1,MATCH(B12,Index!$B14:$F14,0)+3)),INDEX(Index!$B14:$F14,1,MATCH(B12,Index!$B14:$F14,0)+2)),INDEX(Index!$B14:$F14,1,MATCH(B12,Index!$B14:$F14,0)+2)),INDEX(Index!$B14:$F14,1,MATCH(B12,Index!$B14:$F14,0)+1)))</f>
        <v/>
      </c>
      <c r="D12" t="str">
        <f>IF(C12="","",IF(INDEX(Index!$B14:$F14,1,MATCH(C12,Index!$B14:$F14,0)+1)="'",IF(INDEX(Index!C14:G14,1,MATCH(C12,Index!$B14:$F14,0)+2)="'",IF(INDEX(Index!$B14:$F14,1,MATCH(C12,Index!$B14:$F14,0)+2)="'",IF(INDEX(Index!$B14:$F14,1,MATCH(C12,Index!$B14:$F14,0)+3)="'",IF(INDEX(Index!$B14:$F14,1,MATCH(C12,Index!$B14:$F14,0)+4)="'","",INDEX(Index!$B14:$F14,1,MATCH(C12,Index!$B14:$F14,0)+4)),INDEX(Index!$B14:$F14,1,MATCH(C12,Index!$B14:$F14,0)+3)),INDEX(Index!$B14:$F14,1,MATCH(C12,Index!$B14:$F14,0)+2)),INDEX(Index!$B14:$F14,1,MATCH(C12,Index!$B14:$F14,0)+2)),INDEX(Index!$B14:$F14,1,MATCH(C12,Index!$B14:$F14,0)+1)))</f>
        <v/>
      </c>
      <c r="E12" t="str">
        <f>IF(D12="","",IF(INDEX(Index!$B14:$F14,1,MATCH(D12,Index!$B14:$F14,0)+1)="'",IF(INDEX(Index!D14:H14,1,MATCH(D12,Index!$B14:$F14,0)+2)="'",IF(INDEX(Index!$B14:$F14,1,MATCH(D12,Index!$B14:$F14,0)+2)="'",IF(INDEX(Index!$B14:$F14,1,MATCH(D12,Index!$B14:$F14,0)+3)="'",IF(INDEX(Index!$B14:$F14,1,MATCH(D12,Index!$B14:$F14,0)+4)="'","",INDEX(Index!$B14:$F14,1,MATCH(D12,Index!$B14:$F14,0)+4)),INDEX(Index!$B14:$F14,1,MATCH(D12,Index!$B14:$F14,0)+3)),INDEX(Index!$B14:$F14,1,MATCH(D12,Index!$B14:$F14,0)+2)),INDEX(Index!$B14:$F14,1,MATCH(D12,Index!$B14:$F14,0)+2)),INDEX(Index!$B14:$F14,1,MATCH(D12,Index!$B14:$F14,0)+1)))</f>
        <v/>
      </c>
      <c r="F12" t="str">
        <f>IF(E12="","",IF(INDEX(Index!$B14:$F14,1,MATCH(E12,Index!$B14:$F14,0)+1)="'",IF(INDEX(Index!E14:I14,1,MATCH(E12,Index!$B14:$F14,0)+2)="'",IF(INDEX(Index!$B14:$F14,1,MATCH(E12,Index!$B14:$F14,0)+2)="'",IF(INDEX(Index!$B14:$F14,1,MATCH(E12,Index!$B14:$F14,0)+3)="'",IF(INDEX(Index!$B14:$F14,1,MATCH(E12,Index!$B14:$F14,0)+4)="'","",INDEX(Index!$B14:$F14,1,MATCH(E12,Index!$B14:$F14,0)+4)),INDEX(Index!$B14:$F14,1,MATCH(E12,Index!$B14:$F14,0)+3)),INDEX(Index!$B14:$F14,1,MATCH(E12,Index!$B14:$F14,0)+2)),INDEX(Index!$B14:$F14,1,MATCH(E12,Index!$B14:$F14,0)+2)),INDEX(Index!$B14:$F14,1,MATCH(E12,Index!$B14:$F14,0)+1)))</f>
        <v/>
      </c>
    </row>
    <row r="13" spans="2:6" x14ac:dyDescent="0.25">
      <c r="B13" t="str">
        <f>IF(Index!$B15="","",IF(Index!$B15="'",IF(NOT(Index!$C15=""),IF(Index!$C15="'",IF(NOT(Index!$D15=""),IF(Index!$D15="'",IF(NOT(Index!$E15=""),IF(Index!$E15="'",IF(NOT(Index!$F15=""),IF(Index!$F15="'","",Index!$F15)),Index!$E15)),Index!$D15)),Index!$C15)),Index!$B15))</f>
        <v/>
      </c>
      <c r="C13" t="str">
        <f>IF(B13="","",IF(INDEX(Index!$B15:$F15,1,MATCH(B13,Index!$B15:$F15,0)+1)="'",IF(INDEX(Index!B15:F15,1,MATCH(B13,Index!$B15:$F15,0)+2)="'",IF(INDEX(Index!$B15:$F15,1,MATCH(B13,Index!$B15:$F15,0)+2)="'",IF(INDEX(Index!$B15:$F15,1,MATCH(B13,Index!$B15:$F15,0)+3)="'",IF(INDEX(Index!$B15:$F15,1,MATCH(B13,Index!$B15:$F15,0)+4)="'","",INDEX(Index!$B15:$F15,1,MATCH(B13,Index!$B15:$F15,0)+4)),INDEX(Index!$B15:$F15,1,MATCH(B13,Index!$B15:$F15,0)+3)),INDEX(Index!$B15:$F15,1,MATCH(B13,Index!$B15:$F15,0)+2)),INDEX(Index!$B15:$F15,1,MATCH(B13,Index!$B15:$F15,0)+2)),INDEX(Index!$B15:$F15,1,MATCH(B13,Index!$B15:$F15,0)+1)))</f>
        <v/>
      </c>
      <c r="D13" t="str">
        <f>IF(C13="","",IF(INDEX(Index!$B15:$F15,1,MATCH(C13,Index!$B15:$F15,0)+1)="'",IF(INDEX(Index!C15:G15,1,MATCH(C13,Index!$B15:$F15,0)+2)="'",IF(INDEX(Index!$B15:$F15,1,MATCH(C13,Index!$B15:$F15,0)+2)="'",IF(INDEX(Index!$B15:$F15,1,MATCH(C13,Index!$B15:$F15,0)+3)="'",IF(INDEX(Index!$B15:$F15,1,MATCH(C13,Index!$B15:$F15,0)+4)="'","",INDEX(Index!$B15:$F15,1,MATCH(C13,Index!$B15:$F15,0)+4)),INDEX(Index!$B15:$F15,1,MATCH(C13,Index!$B15:$F15,0)+3)),INDEX(Index!$B15:$F15,1,MATCH(C13,Index!$B15:$F15,0)+2)),INDEX(Index!$B15:$F15,1,MATCH(C13,Index!$B15:$F15,0)+2)),INDEX(Index!$B15:$F15,1,MATCH(C13,Index!$B15:$F15,0)+1)))</f>
        <v/>
      </c>
      <c r="E13" t="str">
        <f>IF(D13="","",IF(INDEX(Index!$B15:$F15,1,MATCH(D13,Index!$B15:$F15,0)+1)="'",IF(INDEX(Index!D15:H15,1,MATCH(D13,Index!$B15:$F15,0)+2)="'",IF(INDEX(Index!$B15:$F15,1,MATCH(D13,Index!$B15:$F15,0)+2)="'",IF(INDEX(Index!$B15:$F15,1,MATCH(D13,Index!$B15:$F15,0)+3)="'",IF(INDEX(Index!$B15:$F15,1,MATCH(D13,Index!$B15:$F15,0)+4)="'","",INDEX(Index!$B15:$F15,1,MATCH(D13,Index!$B15:$F15,0)+4)),INDEX(Index!$B15:$F15,1,MATCH(D13,Index!$B15:$F15,0)+3)),INDEX(Index!$B15:$F15,1,MATCH(D13,Index!$B15:$F15,0)+2)),INDEX(Index!$B15:$F15,1,MATCH(D13,Index!$B15:$F15,0)+2)),INDEX(Index!$B15:$F15,1,MATCH(D13,Index!$B15:$F15,0)+1)))</f>
        <v/>
      </c>
      <c r="F13" t="str">
        <f>IF(E13="","",IF(INDEX(Index!$B15:$F15,1,MATCH(E13,Index!$B15:$F15,0)+1)="'",IF(INDEX(Index!E15:I15,1,MATCH(E13,Index!$B15:$F15,0)+2)="'",IF(INDEX(Index!$B15:$F15,1,MATCH(E13,Index!$B15:$F15,0)+2)="'",IF(INDEX(Index!$B15:$F15,1,MATCH(E13,Index!$B15:$F15,0)+3)="'",IF(INDEX(Index!$B15:$F15,1,MATCH(E13,Index!$B15:$F15,0)+4)="'","",INDEX(Index!$B15:$F15,1,MATCH(E13,Index!$B15:$F15,0)+4)),INDEX(Index!$B15:$F15,1,MATCH(E13,Index!$B15:$F15,0)+3)),INDEX(Index!$B15:$F15,1,MATCH(E13,Index!$B15:$F15,0)+2)),INDEX(Index!$B15:$F15,1,MATCH(E13,Index!$B15:$F15,0)+2)),INDEX(Index!$B15:$F15,1,MATCH(E13,Index!$B15:$F15,0)+1)))</f>
        <v/>
      </c>
    </row>
    <row r="14" spans="2:6" x14ac:dyDescent="0.25">
      <c r="B14" t="str">
        <f>IF(Index!$B16="","",IF(Index!$B16="'",IF(NOT(Index!$C16=""),IF(Index!$C16="'",IF(NOT(Index!$D16=""),IF(Index!$D16="'",IF(NOT(Index!$E16=""),IF(Index!$E16="'",IF(NOT(Index!$F16=""),IF(Index!$F16="'","",Index!$F16)),Index!$E16)),Index!$D16)),Index!$C16)),Index!$B16))</f>
        <v/>
      </c>
      <c r="C14" t="str">
        <f>IF(B14="","",IF(INDEX(Index!$B16:$F16,1,MATCH(B14,Index!$B16:$F16,0)+1)="'",IF(INDEX(Index!B16:F16,1,MATCH(B14,Index!$B16:$F16,0)+2)="'",IF(INDEX(Index!$B16:$F16,1,MATCH(B14,Index!$B16:$F16,0)+2)="'",IF(INDEX(Index!$B16:$F16,1,MATCH(B14,Index!$B16:$F16,0)+3)="'",IF(INDEX(Index!$B16:$F16,1,MATCH(B14,Index!$B16:$F16,0)+4)="'","",INDEX(Index!$B16:$F16,1,MATCH(B14,Index!$B16:$F16,0)+4)),INDEX(Index!$B16:$F16,1,MATCH(B14,Index!$B16:$F16,0)+3)),INDEX(Index!$B16:$F16,1,MATCH(B14,Index!$B16:$F16,0)+2)),INDEX(Index!$B16:$F16,1,MATCH(B14,Index!$B16:$F16,0)+2)),INDEX(Index!$B16:$F16,1,MATCH(B14,Index!$B16:$F16,0)+1)))</f>
        <v/>
      </c>
      <c r="D14" t="str">
        <f>IF(C14="","",IF(INDEX(Index!$B16:$F16,1,MATCH(C14,Index!$B16:$F16,0)+1)="'",IF(INDEX(Index!C16:G16,1,MATCH(C14,Index!$B16:$F16,0)+2)="'",IF(INDEX(Index!$B16:$F16,1,MATCH(C14,Index!$B16:$F16,0)+2)="'",IF(INDEX(Index!$B16:$F16,1,MATCH(C14,Index!$B16:$F16,0)+3)="'",IF(INDEX(Index!$B16:$F16,1,MATCH(C14,Index!$B16:$F16,0)+4)="'","",INDEX(Index!$B16:$F16,1,MATCH(C14,Index!$B16:$F16,0)+4)),INDEX(Index!$B16:$F16,1,MATCH(C14,Index!$B16:$F16,0)+3)),INDEX(Index!$B16:$F16,1,MATCH(C14,Index!$B16:$F16,0)+2)),INDEX(Index!$B16:$F16,1,MATCH(C14,Index!$B16:$F16,0)+2)),INDEX(Index!$B16:$F16,1,MATCH(C14,Index!$B16:$F16,0)+1)))</f>
        <v/>
      </c>
      <c r="E14" t="str">
        <f>IF(D14="","",IF(INDEX(Index!$B16:$F16,1,MATCH(D14,Index!$B16:$F16,0)+1)="'",IF(INDEX(Index!D16:H16,1,MATCH(D14,Index!$B16:$F16,0)+2)="'",IF(INDEX(Index!$B16:$F16,1,MATCH(D14,Index!$B16:$F16,0)+2)="'",IF(INDEX(Index!$B16:$F16,1,MATCH(D14,Index!$B16:$F16,0)+3)="'",IF(INDEX(Index!$B16:$F16,1,MATCH(D14,Index!$B16:$F16,0)+4)="'","",INDEX(Index!$B16:$F16,1,MATCH(D14,Index!$B16:$F16,0)+4)),INDEX(Index!$B16:$F16,1,MATCH(D14,Index!$B16:$F16,0)+3)),INDEX(Index!$B16:$F16,1,MATCH(D14,Index!$B16:$F16,0)+2)),INDEX(Index!$B16:$F16,1,MATCH(D14,Index!$B16:$F16,0)+2)),INDEX(Index!$B16:$F16,1,MATCH(D14,Index!$B16:$F16,0)+1)))</f>
        <v/>
      </c>
      <c r="F14" t="str">
        <f>IF(E14="","",IF(INDEX(Index!$B16:$F16,1,MATCH(E14,Index!$B16:$F16,0)+1)="'",IF(INDEX(Index!E16:I16,1,MATCH(E14,Index!$B16:$F16,0)+2)="'",IF(INDEX(Index!$B16:$F16,1,MATCH(E14,Index!$B16:$F16,0)+2)="'",IF(INDEX(Index!$B16:$F16,1,MATCH(E14,Index!$B16:$F16,0)+3)="'",IF(INDEX(Index!$B16:$F16,1,MATCH(E14,Index!$B16:$F16,0)+4)="'","",INDEX(Index!$B16:$F16,1,MATCH(E14,Index!$B16:$F16,0)+4)),INDEX(Index!$B16:$F16,1,MATCH(E14,Index!$B16:$F16,0)+3)),INDEX(Index!$B16:$F16,1,MATCH(E14,Index!$B16:$F16,0)+2)),INDEX(Index!$B16:$F16,1,MATCH(E14,Index!$B16:$F16,0)+2)),INDEX(Index!$B16:$F16,1,MATCH(E14,Index!$B16:$F16,0)+1)))</f>
        <v/>
      </c>
    </row>
    <row r="15" spans="2:6" x14ac:dyDescent="0.25">
      <c r="B15" t="str">
        <f>IF(Index!$B17="","",IF(Index!$B17="'",IF(NOT(Index!$C17=""),IF(Index!$C17="'",IF(NOT(Index!$D17=""),IF(Index!$D17="'",IF(NOT(Index!$E17=""),IF(Index!$E17="'",IF(NOT(Index!$F17=""),IF(Index!$F17="'","",Index!$F17)),Index!$E17)),Index!$D17)),Index!$C17)),Index!$B17))</f>
        <v/>
      </c>
      <c r="C15" t="str">
        <f>IF(B15="","",IF(INDEX(Index!$B17:$F17,1,MATCH(B15,Index!$B17:$F17,0)+1)="'",IF(INDEX(Index!B17:F17,1,MATCH(B15,Index!$B17:$F17,0)+2)="'",IF(INDEX(Index!$B17:$F17,1,MATCH(B15,Index!$B17:$F17,0)+2)="'",IF(INDEX(Index!$B17:$F17,1,MATCH(B15,Index!$B17:$F17,0)+3)="'",IF(INDEX(Index!$B17:$F17,1,MATCH(B15,Index!$B17:$F17,0)+4)="'","",INDEX(Index!$B17:$F17,1,MATCH(B15,Index!$B17:$F17,0)+4)),INDEX(Index!$B17:$F17,1,MATCH(B15,Index!$B17:$F17,0)+3)),INDEX(Index!$B17:$F17,1,MATCH(B15,Index!$B17:$F17,0)+2)),INDEX(Index!$B17:$F17,1,MATCH(B15,Index!$B17:$F17,0)+2)),INDEX(Index!$B17:$F17,1,MATCH(B15,Index!$B17:$F17,0)+1)))</f>
        <v/>
      </c>
      <c r="D15" t="str">
        <f>IF(C15="","",IF(INDEX(Index!$B17:$F17,1,MATCH(C15,Index!$B17:$F17,0)+1)="'",IF(INDEX(Index!C17:G17,1,MATCH(C15,Index!$B17:$F17,0)+2)="'",IF(INDEX(Index!$B17:$F17,1,MATCH(C15,Index!$B17:$F17,0)+2)="'",IF(INDEX(Index!$B17:$F17,1,MATCH(C15,Index!$B17:$F17,0)+3)="'",IF(INDEX(Index!$B17:$F17,1,MATCH(C15,Index!$B17:$F17,0)+4)="'","",INDEX(Index!$B17:$F17,1,MATCH(C15,Index!$B17:$F17,0)+4)),INDEX(Index!$B17:$F17,1,MATCH(C15,Index!$B17:$F17,0)+3)),INDEX(Index!$B17:$F17,1,MATCH(C15,Index!$B17:$F17,0)+2)),INDEX(Index!$B17:$F17,1,MATCH(C15,Index!$B17:$F17,0)+2)),INDEX(Index!$B17:$F17,1,MATCH(C15,Index!$B17:$F17,0)+1)))</f>
        <v/>
      </c>
      <c r="E15" t="str">
        <f>IF(D15="","",IF(INDEX(Index!$B17:$F17,1,MATCH(D15,Index!$B17:$F17,0)+1)="'",IF(INDEX(Index!D17:H17,1,MATCH(D15,Index!$B17:$F17,0)+2)="'",IF(INDEX(Index!$B17:$F17,1,MATCH(D15,Index!$B17:$F17,0)+2)="'",IF(INDEX(Index!$B17:$F17,1,MATCH(D15,Index!$B17:$F17,0)+3)="'",IF(INDEX(Index!$B17:$F17,1,MATCH(D15,Index!$B17:$F17,0)+4)="'","",INDEX(Index!$B17:$F17,1,MATCH(D15,Index!$B17:$F17,0)+4)),INDEX(Index!$B17:$F17,1,MATCH(D15,Index!$B17:$F17,0)+3)),INDEX(Index!$B17:$F17,1,MATCH(D15,Index!$B17:$F17,0)+2)),INDEX(Index!$B17:$F17,1,MATCH(D15,Index!$B17:$F17,0)+2)),INDEX(Index!$B17:$F17,1,MATCH(D15,Index!$B17:$F17,0)+1)))</f>
        <v/>
      </c>
      <c r="F15" t="str">
        <f>IF(E15="","",IF(INDEX(Index!$B17:$F17,1,MATCH(E15,Index!$B17:$F17,0)+1)="'",IF(INDEX(Index!E17:I17,1,MATCH(E15,Index!$B17:$F17,0)+2)="'",IF(INDEX(Index!$B17:$F17,1,MATCH(E15,Index!$B17:$F17,0)+2)="'",IF(INDEX(Index!$B17:$F17,1,MATCH(E15,Index!$B17:$F17,0)+3)="'",IF(INDEX(Index!$B17:$F17,1,MATCH(E15,Index!$B17:$F17,0)+4)="'","",INDEX(Index!$B17:$F17,1,MATCH(E15,Index!$B17:$F17,0)+4)),INDEX(Index!$B17:$F17,1,MATCH(E15,Index!$B17:$F17,0)+3)),INDEX(Index!$B17:$F17,1,MATCH(E15,Index!$B17:$F17,0)+2)),INDEX(Index!$B17:$F17,1,MATCH(E15,Index!$B17:$F17,0)+2)),INDEX(Index!$B17:$F17,1,MATCH(E15,Index!$B17:$F17,0)+1)))</f>
        <v/>
      </c>
    </row>
    <row r="16" spans="2:6" x14ac:dyDescent="0.25">
      <c r="B16" t="str">
        <f>IF(Index!$B18="","",IF(Index!$B18="'",IF(NOT(Index!$C18=""),IF(Index!$C18="'",IF(NOT(Index!$D18=""),IF(Index!$D18="'",IF(NOT(Index!$E18=""),IF(Index!$E18="'",IF(NOT(Index!$F18=""),IF(Index!$F18="'","",Index!$F18)),Index!$E18)),Index!$D18)),Index!$C18)),Index!$B18))</f>
        <v/>
      </c>
      <c r="C16" t="str">
        <f>IF(B16="","",IF(INDEX(Index!$B18:$F18,1,MATCH(B16,Index!$B18:$F18,0)+1)="'",IF(INDEX(Index!B18:F18,1,MATCH(B16,Index!$B18:$F18,0)+2)="'",IF(INDEX(Index!$B18:$F18,1,MATCH(B16,Index!$B18:$F18,0)+2)="'",IF(INDEX(Index!$B18:$F18,1,MATCH(B16,Index!$B18:$F18,0)+3)="'",IF(INDEX(Index!$B18:$F18,1,MATCH(B16,Index!$B18:$F18,0)+4)="'","",INDEX(Index!$B18:$F18,1,MATCH(B16,Index!$B18:$F18,0)+4)),INDEX(Index!$B18:$F18,1,MATCH(B16,Index!$B18:$F18,0)+3)),INDEX(Index!$B18:$F18,1,MATCH(B16,Index!$B18:$F18,0)+2)),INDEX(Index!$B18:$F18,1,MATCH(B16,Index!$B18:$F18,0)+2)),INDEX(Index!$B18:$F18,1,MATCH(B16,Index!$B18:$F18,0)+1)))</f>
        <v/>
      </c>
      <c r="D16" t="str">
        <f>IF(C16="","",IF(INDEX(Index!$B18:$F18,1,MATCH(C16,Index!$B18:$F18,0)+1)="'",IF(INDEX(Index!C18:G18,1,MATCH(C16,Index!$B18:$F18,0)+2)="'",IF(INDEX(Index!$B18:$F18,1,MATCH(C16,Index!$B18:$F18,0)+2)="'",IF(INDEX(Index!$B18:$F18,1,MATCH(C16,Index!$B18:$F18,0)+3)="'",IF(INDEX(Index!$B18:$F18,1,MATCH(C16,Index!$B18:$F18,0)+4)="'","",INDEX(Index!$B18:$F18,1,MATCH(C16,Index!$B18:$F18,0)+4)),INDEX(Index!$B18:$F18,1,MATCH(C16,Index!$B18:$F18,0)+3)),INDEX(Index!$B18:$F18,1,MATCH(C16,Index!$B18:$F18,0)+2)),INDEX(Index!$B18:$F18,1,MATCH(C16,Index!$B18:$F18,0)+2)),INDEX(Index!$B18:$F18,1,MATCH(C16,Index!$B18:$F18,0)+1)))</f>
        <v/>
      </c>
      <c r="E16" t="str">
        <f>IF(D16="","",IF(INDEX(Index!$B18:$F18,1,MATCH(D16,Index!$B18:$F18,0)+1)="'",IF(INDEX(Index!D18:H18,1,MATCH(D16,Index!$B18:$F18,0)+2)="'",IF(INDEX(Index!$B18:$F18,1,MATCH(D16,Index!$B18:$F18,0)+2)="'",IF(INDEX(Index!$B18:$F18,1,MATCH(D16,Index!$B18:$F18,0)+3)="'",IF(INDEX(Index!$B18:$F18,1,MATCH(D16,Index!$B18:$F18,0)+4)="'","",INDEX(Index!$B18:$F18,1,MATCH(D16,Index!$B18:$F18,0)+4)),INDEX(Index!$B18:$F18,1,MATCH(D16,Index!$B18:$F18,0)+3)),INDEX(Index!$B18:$F18,1,MATCH(D16,Index!$B18:$F18,0)+2)),INDEX(Index!$B18:$F18,1,MATCH(D16,Index!$B18:$F18,0)+2)),INDEX(Index!$B18:$F18,1,MATCH(D16,Index!$B18:$F18,0)+1)))</f>
        <v/>
      </c>
      <c r="F16" t="str">
        <f>IF(E16="","",IF(INDEX(Index!$B18:$F18,1,MATCH(E16,Index!$B18:$F18,0)+1)="'",IF(INDEX(Index!E18:I18,1,MATCH(E16,Index!$B18:$F18,0)+2)="'",IF(INDEX(Index!$B18:$F18,1,MATCH(E16,Index!$B18:$F18,0)+2)="'",IF(INDEX(Index!$B18:$F18,1,MATCH(E16,Index!$B18:$F18,0)+3)="'",IF(INDEX(Index!$B18:$F18,1,MATCH(E16,Index!$B18:$F18,0)+4)="'","",INDEX(Index!$B18:$F18,1,MATCH(E16,Index!$B18:$F18,0)+4)),INDEX(Index!$B18:$F18,1,MATCH(E16,Index!$B18:$F18,0)+3)),INDEX(Index!$B18:$F18,1,MATCH(E16,Index!$B18:$F18,0)+2)),INDEX(Index!$B18:$F18,1,MATCH(E16,Index!$B18:$F18,0)+2)),INDEX(Index!$B18:$F18,1,MATCH(E16,Index!$B18:$F18,0)+1)))</f>
        <v/>
      </c>
    </row>
    <row r="17" spans="2:6" x14ac:dyDescent="0.25">
      <c r="B17" t="str">
        <f>IF(Index!$B19="","",IF(Index!$B19="'",IF(NOT(Index!$C19=""),IF(Index!$C19="'",IF(NOT(Index!$D19=""),IF(Index!$D19="'",IF(NOT(Index!$E19=""),IF(Index!$E19="'",IF(NOT(Index!$F19=""),IF(Index!$F19="'","",Index!$F19)),Index!$E19)),Index!$D19)),Index!$C19)),Index!$B19))</f>
        <v/>
      </c>
      <c r="C17" t="str">
        <f>IF(B17="","",IF(INDEX(Index!$B19:$F19,1,MATCH(B17,Index!$B19:$F19,0)+1)="'",IF(INDEX(Index!B19:F19,1,MATCH(B17,Index!$B19:$F19,0)+2)="'",IF(INDEX(Index!$B19:$F19,1,MATCH(B17,Index!$B19:$F19,0)+2)="'",IF(INDEX(Index!$B19:$F19,1,MATCH(B17,Index!$B19:$F19,0)+3)="'",IF(INDEX(Index!$B19:$F19,1,MATCH(B17,Index!$B19:$F19,0)+4)="'","",INDEX(Index!$B19:$F19,1,MATCH(B17,Index!$B19:$F19,0)+4)),INDEX(Index!$B19:$F19,1,MATCH(B17,Index!$B19:$F19,0)+3)),INDEX(Index!$B19:$F19,1,MATCH(B17,Index!$B19:$F19,0)+2)),INDEX(Index!$B19:$F19,1,MATCH(B17,Index!$B19:$F19,0)+2)),INDEX(Index!$B19:$F19,1,MATCH(B17,Index!$B19:$F19,0)+1)))</f>
        <v/>
      </c>
      <c r="D17" t="str">
        <f>IF(C17="","",IF(INDEX(Index!$B19:$F19,1,MATCH(C17,Index!$B19:$F19,0)+1)="'",IF(INDEX(Index!C19:G19,1,MATCH(C17,Index!$B19:$F19,0)+2)="'",IF(INDEX(Index!$B19:$F19,1,MATCH(C17,Index!$B19:$F19,0)+2)="'",IF(INDEX(Index!$B19:$F19,1,MATCH(C17,Index!$B19:$F19,0)+3)="'",IF(INDEX(Index!$B19:$F19,1,MATCH(C17,Index!$B19:$F19,0)+4)="'","",INDEX(Index!$B19:$F19,1,MATCH(C17,Index!$B19:$F19,0)+4)),INDEX(Index!$B19:$F19,1,MATCH(C17,Index!$B19:$F19,0)+3)),INDEX(Index!$B19:$F19,1,MATCH(C17,Index!$B19:$F19,0)+2)),INDEX(Index!$B19:$F19,1,MATCH(C17,Index!$B19:$F19,0)+2)),INDEX(Index!$B19:$F19,1,MATCH(C17,Index!$B19:$F19,0)+1)))</f>
        <v/>
      </c>
      <c r="E17" t="str">
        <f>IF(D17="","",IF(INDEX(Index!$B19:$F19,1,MATCH(D17,Index!$B19:$F19,0)+1)="'",IF(INDEX(Index!D19:H19,1,MATCH(D17,Index!$B19:$F19,0)+2)="'",IF(INDEX(Index!$B19:$F19,1,MATCH(D17,Index!$B19:$F19,0)+2)="'",IF(INDEX(Index!$B19:$F19,1,MATCH(D17,Index!$B19:$F19,0)+3)="'",IF(INDEX(Index!$B19:$F19,1,MATCH(D17,Index!$B19:$F19,0)+4)="'","",INDEX(Index!$B19:$F19,1,MATCH(D17,Index!$B19:$F19,0)+4)),INDEX(Index!$B19:$F19,1,MATCH(D17,Index!$B19:$F19,0)+3)),INDEX(Index!$B19:$F19,1,MATCH(D17,Index!$B19:$F19,0)+2)),INDEX(Index!$B19:$F19,1,MATCH(D17,Index!$B19:$F19,0)+2)),INDEX(Index!$B19:$F19,1,MATCH(D17,Index!$B19:$F19,0)+1)))</f>
        <v/>
      </c>
      <c r="F17" t="str">
        <f>IF(E17="","",IF(INDEX(Index!$B19:$F19,1,MATCH(E17,Index!$B19:$F19,0)+1)="'",IF(INDEX(Index!E19:I19,1,MATCH(E17,Index!$B19:$F19,0)+2)="'",IF(INDEX(Index!$B19:$F19,1,MATCH(E17,Index!$B19:$F19,0)+2)="'",IF(INDEX(Index!$B19:$F19,1,MATCH(E17,Index!$B19:$F19,0)+3)="'",IF(INDEX(Index!$B19:$F19,1,MATCH(E17,Index!$B19:$F19,0)+4)="'","",INDEX(Index!$B19:$F19,1,MATCH(E17,Index!$B19:$F19,0)+4)),INDEX(Index!$B19:$F19,1,MATCH(E17,Index!$B19:$F19,0)+3)),INDEX(Index!$B19:$F19,1,MATCH(E17,Index!$B19:$F19,0)+2)),INDEX(Index!$B19:$F19,1,MATCH(E17,Index!$B19:$F19,0)+2)),INDEX(Index!$B19:$F19,1,MATCH(E17,Index!$B19:$F19,0)+1)))</f>
        <v/>
      </c>
    </row>
    <row r="18" spans="2:6" x14ac:dyDescent="0.25">
      <c r="B18" t="str">
        <f>IF(Index!$B20="","",IF(Index!$B20="'",IF(NOT(Index!$C20=""),IF(Index!$C20="'",IF(NOT(Index!$D20=""),IF(Index!$D20="'",IF(NOT(Index!$E20=""),IF(Index!$E20="'",IF(NOT(Index!$F20=""),IF(Index!$F20="'","",Index!$F20)),Index!$E20)),Index!$D20)),Index!$C20)),Index!$B20))</f>
        <v/>
      </c>
      <c r="C18" t="str">
        <f>IF(B18="","",IF(INDEX(Index!$B20:$F20,1,MATCH(B18,Index!$B20:$F20,0)+1)="'",IF(INDEX(Index!B20:F20,1,MATCH(B18,Index!$B20:$F20,0)+2)="'",IF(INDEX(Index!$B20:$F20,1,MATCH(B18,Index!$B20:$F20,0)+2)="'",IF(INDEX(Index!$B20:$F20,1,MATCH(B18,Index!$B20:$F20,0)+3)="'",IF(INDEX(Index!$B20:$F20,1,MATCH(B18,Index!$B20:$F20,0)+4)="'","",INDEX(Index!$B20:$F20,1,MATCH(B18,Index!$B20:$F20,0)+4)),INDEX(Index!$B20:$F20,1,MATCH(B18,Index!$B20:$F20,0)+3)),INDEX(Index!$B20:$F20,1,MATCH(B18,Index!$B20:$F20,0)+2)),INDEX(Index!$B20:$F20,1,MATCH(B18,Index!$B20:$F20,0)+2)),INDEX(Index!$B20:$F20,1,MATCH(B18,Index!$B20:$F20,0)+1)))</f>
        <v/>
      </c>
      <c r="D18" t="str">
        <f>IF(C18="","",IF(INDEX(Index!$B20:$F20,1,MATCH(C18,Index!$B20:$F20,0)+1)="'",IF(INDEX(Index!C20:G20,1,MATCH(C18,Index!$B20:$F20,0)+2)="'",IF(INDEX(Index!$B20:$F20,1,MATCH(C18,Index!$B20:$F20,0)+2)="'",IF(INDEX(Index!$B20:$F20,1,MATCH(C18,Index!$B20:$F20,0)+3)="'",IF(INDEX(Index!$B20:$F20,1,MATCH(C18,Index!$B20:$F20,0)+4)="'","",INDEX(Index!$B20:$F20,1,MATCH(C18,Index!$B20:$F20,0)+4)),INDEX(Index!$B20:$F20,1,MATCH(C18,Index!$B20:$F20,0)+3)),INDEX(Index!$B20:$F20,1,MATCH(C18,Index!$B20:$F20,0)+2)),INDEX(Index!$B20:$F20,1,MATCH(C18,Index!$B20:$F20,0)+2)),INDEX(Index!$B20:$F20,1,MATCH(C18,Index!$B20:$F20,0)+1)))</f>
        <v/>
      </c>
      <c r="E18" t="str">
        <f>IF(D18="","",IF(INDEX(Index!$B20:$F20,1,MATCH(D18,Index!$B20:$F20,0)+1)="'",IF(INDEX(Index!D20:H20,1,MATCH(D18,Index!$B20:$F20,0)+2)="'",IF(INDEX(Index!$B20:$F20,1,MATCH(D18,Index!$B20:$F20,0)+2)="'",IF(INDEX(Index!$B20:$F20,1,MATCH(D18,Index!$B20:$F20,0)+3)="'",IF(INDEX(Index!$B20:$F20,1,MATCH(D18,Index!$B20:$F20,0)+4)="'","",INDEX(Index!$B20:$F20,1,MATCH(D18,Index!$B20:$F20,0)+4)),INDEX(Index!$B20:$F20,1,MATCH(D18,Index!$B20:$F20,0)+3)),INDEX(Index!$B20:$F20,1,MATCH(D18,Index!$B20:$F20,0)+2)),INDEX(Index!$B20:$F20,1,MATCH(D18,Index!$B20:$F20,0)+2)),INDEX(Index!$B20:$F20,1,MATCH(D18,Index!$B20:$F20,0)+1)))</f>
        <v/>
      </c>
      <c r="F18" t="str">
        <f>IF(E18="","",IF(INDEX(Index!$B20:$F20,1,MATCH(E18,Index!$B20:$F20,0)+1)="'",IF(INDEX(Index!E20:I20,1,MATCH(E18,Index!$B20:$F20,0)+2)="'",IF(INDEX(Index!$B20:$F20,1,MATCH(E18,Index!$B20:$F20,0)+2)="'",IF(INDEX(Index!$B20:$F20,1,MATCH(E18,Index!$B20:$F20,0)+3)="'",IF(INDEX(Index!$B20:$F20,1,MATCH(E18,Index!$B20:$F20,0)+4)="'","",INDEX(Index!$B20:$F20,1,MATCH(E18,Index!$B20:$F20,0)+4)),INDEX(Index!$B20:$F20,1,MATCH(E18,Index!$B20:$F20,0)+3)),INDEX(Index!$B20:$F20,1,MATCH(E18,Index!$B20:$F20,0)+2)),INDEX(Index!$B20:$F20,1,MATCH(E18,Index!$B20:$F20,0)+2)),INDEX(Index!$B20:$F20,1,MATCH(E18,Index!$B20:$F20,0)+1)))</f>
        <v/>
      </c>
    </row>
    <row r="1048573" spans="2:6" x14ac:dyDescent="0.25">
      <c r="F1048573">
        <f>MATCH(F1048574,B1048574:D1048574,0)</f>
        <v>1</v>
      </c>
    </row>
    <row r="1048574" spans="2:6" x14ac:dyDescent="0.25">
      <c r="B1048574" t="s">
        <v>109</v>
      </c>
      <c r="C1048574" t="s">
        <v>108</v>
      </c>
      <c r="D1048574" t="s">
        <v>109</v>
      </c>
      <c r="F1048574" t="str">
        <f>HLOOKUP(D1048574,B1048574:D1048576,1,FALSE)</f>
        <v>HOLA</v>
      </c>
    </row>
    <row r="1048575" spans="2:6" x14ac:dyDescent="0.25">
      <c r="B1048575" t="str">
        <f>IF(Index!C4="","TERMINO","CONTINUA")</f>
        <v>TERMINO</v>
      </c>
      <c r="C1048575" t="s">
        <v>105</v>
      </c>
      <c r="D1048575" t="s">
        <v>104</v>
      </c>
    </row>
    <row r="1048576" spans="2:6" x14ac:dyDescent="0.25">
      <c r="C1048576" t="s">
        <v>106</v>
      </c>
      <c r="D1048576" t="s">
        <v>107</v>
      </c>
    </row>
  </sheetData>
  <sheetProtection sheet="1" objects="1" scenarios="1"/>
  <mergeCells count="1">
    <mergeCell ref="B1:D1"/>
  </mergeCells>
  <pageMargins left="0.23622047244094491" right="0.23622047244094491" top="0.19685039370078741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>
    <tabColor rgb="FF81FFCF"/>
  </sheetPr>
  <dimension ref="A1:K271"/>
  <sheetViews>
    <sheetView workbookViewId="0">
      <selection activeCell="D4" sqref="D4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1:11" ht="45" x14ac:dyDescent="0.25">
      <c r="A1" s="28" t="s">
        <v>47</v>
      </c>
      <c r="B1" s="29" t="s">
        <v>26</v>
      </c>
      <c r="C1" s="28" t="s">
        <v>27</v>
      </c>
      <c r="D1" s="29" t="s">
        <v>0</v>
      </c>
      <c r="E1" s="28" t="s">
        <v>1</v>
      </c>
      <c r="F1" s="29" t="s">
        <v>11</v>
      </c>
      <c r="G1" s="28" t="s">
        <v>3</v>
      </c>
      <c r="H1" s="29" t="s">
        <v>48</v>
      </c>
      <c r="K1" s="30" t="s">
        <v>46</v>
      </c>
    </row>
    <row r="2" spans="1:11" x14ac:dyDescent="0.25">
      <c r="A2" s="33" t="str">
        <f>$F2&amp;$G2</f>
        <v>00</v>
      </c>
      <c r="B2" s="34">
        <f>INDEX(CANCIONES!C$5:C$2500,SMALL('OPERACIONES DE FORMULAS'!$D$5:$D$300,ROW()-1)-4)</f>
        <v>0</v>
      </c>
      <c r="C2" s="35">
        <f>INDEX(CANCIONES!D$5:D$2500,SMALL('OPERACIONES DE FORMULAS'!$D$5:$D$300,ROW()-1)-4)</f>
        <v>0</v>
      </c>
      <c r="D2" s="34">
        <f>INDEX(CANCIONES!E$5:E$2500,SMALL('OPERACIONES DE FORMULAS'!$D$5:$D$300,ROW()-1)-4)</f>
        <v>0</v>
      </c>
      <c r="E2" s="35">
        <f>INDEX(CANCIONES!F$5:F$2500,SMALL('OPERACIONES DE FORMULAS'!$D$5:$D$300,ROW()-1)-4)</f>
        <v>0</v>
      </c>
      <c r="F2" s="34">
        <f>INDEX(CANCIONES!G$5:G$2500,SMALL('OPERACIONES DE FORMULAS'!$D$5:$D$300,ROW()-1)-4)</f>
        <v>0</v>
      </c>
      <c r="G2" s="35">
        <f>INDEX(CANCIONES!H$5:H$2500,SMALL('OPERACIONES DE FORMULAS'!$D$5:$D$300,ROW()-1)-4)</f>
        <v>0</v>
      </c>
      <c r="H2" s="34">
        <f>ROW()-1</f>
        <v>1</v>
      </c>
      <c r="K2" s="32">
        <f>SMALL('OPERACIONES DE FORMULAS'!$D$5:$D$35,ROW()-1)</f>
        <v>14</v>
      </c>
    </row>
    <row r="3" spans="1:11" x14ac:dyDescent="0.25">
      <c r="A3" s="36" t="str">
        <f t="shared" ref="A3:A66" si="0">$F3&amp;$G3</f>
        <v>00</v>
      </c>
      <c r="B3" s="37">
        <f>INDEX(CANCIONES!C$5:C$2500,SMALL('OPERACIONES DE FORMULAS'!$D$5:$D$300,ROW()-1)-4)</f>
        <v>0</v>
      </c>
      <c r="C3" s="36">
        <f>INDEX(CANCIONES!D$5:D$2500,SMALL('OPERACIONES DE FORMULAS'!$D$5:$D$300,ROW()-1)-4)</f>
        <v>0</v>
      </c>
      <c r="D3" s="37">
        <f>INDEX(CANCIONES!E$5:E$2500,SMALL('OPERACIONES DE FORMULAS'!$D$5:$D$300,ROW()-1)-4)</f>
        <v>0</v>
      </c>
      <c r="E3" s="36">
        <f>INDEX(CANCIONES!F$5:F$2500,SMALL('OPERACIONES DE FORMULAS'!$D$5:$D$300,ROW()-1)-4)</f>
        <v>0</v>
      </c>
      <c r="F3" s="37">
        <f>INDEX(CANCIONES!G$5:G$2500,SMALL('OPERACIONES DE FORMULAS'!$D$5:$D$300,ROW()-1)-4)</f>
        <v>0</v>
      </c>
      <c r="G3" s="36">
        <f>INDEX(CANCIONES!H$5:H$2500,SMALL('OPERACIONES DE FORMULAS'!$D$5:$D$300,ROW()-1)-4)</f>
        <v>0</v>
      </c>
      <c r="H3" s="37">
        <f t="shared" ref="H3:H66" si="1">ROW()-1</f>
        <v>2</v>
      </c>
      <c r="K3" s="31">
        <f>SMALL('OPERACIONES DE FORMULAS'!$D$5:$D$35,ROW()-1)</f>
        <v>15</v>
      </c>
    </row>
    <row r="4" spans="1:11" x14ac:dyDescent="0.25">
      <c r="A4" s="33" t="str">
        <f t="shared" si="0"/>
        <v>00</v>
      </c>
      <c r="B4" s="34">
        <f>INDEX(CANCIONES!C$5:C$2500,SMALL('OPERACIONES DE FORMULAS'!$D$5:$D$300,ROW()-1)-4)</f>
        <v>0</v>
      </c>
      <c r="C4" s="35">
        <f>INDEX(CANCIONES!D$5:D$2500,SMALL('OPERACIONES DE FORMULAS'!$D$5:$D$300,ROW()-1)-4)</f>
        <v>0</v>
      </c>
      <c r="D4" s="34">
        <f>INDEX(CANCIONES!E$5:E$2500,SMALL('OPERACIONES DE FORMULAS'!$D$5:$D$300,ROW()-1)-4)</f>
        <v>0</v>
      </c>
      <c r="E4" s="35">
        <f>INDEX(CANCIONES!F$5:F$2500,SMALL('OPERACIONES DE FORMULAS'!$D$5:$D$300,ROW()-1)-4)</f>
        <v>0</v>
      </c>
      <c r="F4" s="34">
        <f>INDEX(CANCIONES!G$5:G$2500,SMALL('OPERACIONES DE FORMULAS'!$D$5:$D$300,ROW()-1)-4)</f>
        <v>0</v>
      </c>
      <c r="G4" s="35">
        <f>INDEX(CANCIONES!H$5:H$2500,SMALL('OPERACIONES DE FORMULAS'!$D$5:$D$300,ROW()-1)-4)</f>
        <v>0</v>
      </c>
      <c r="H4" s="34">
        <f t="shared" si="1"/>
        <v>3</v>
      </c>
      <c r="K4" s="32">
        <f>SMALL('OPERACIONES DE FORMULAS'!$D$5:$D$35,ROW()-1)</f>
        <v>16</v>
      </c>
    </row>
    <row r="5" spans="1:11" x14ac:dyDescent="0.25">
      <c r="A5" s="36" t="str">
        <f t="shared" si="0"/>
        <v>00</v>
      </c>
      <c r="B5" s="37">
        <f>INDEX(CANCIONES!C$5:C$2500,SMALL('OPERACIONES DE FORMULAS'!$D$5:$D$300,ROW()-1)-4)</f>
        <v>0</v>
      </c>
      <c r="C5" s="36">
        <f>INDEX(CANCIONES!D$5:D$2500,SMALL('OPERACIONES DE FORMULAS'!$D$5:$D$300,ROW()-1)-4)</f>
        <v>0</v>
      </c>
      <c r="D5" s="37">
        <f>INDEX(CANCIONES!E$5:E$2500,SMALL('OPERACIONES DE FORMULAS'!$D$5:$D$300,ROW()-1)-4)</f>
        <v>0</v>
      </c>
      <c r="E5" s="36">
        <f>INDEX(CANCIONES!F$5:F$2500,SMALL('OPERACIONES DE FORMULAS'!$D$5:$D$300,ROW()-1)-4)</f>
        <v>0</v>
      </c>
      <c r="F5" s="37">
        <f>INDEX(CANCIONES!G$5:G$2500,SMALL('OPERACIONES DE FORMULAS'!$D$5:$D$300,ROW()-1)-4)</f>
        <v>0</v>
      </c>
      <c r="G5" s="36">
        <f>INDEX(CANCIONES!H$5:H$2500,SMALL('OPERACIONES DE FORMULAS'!$D$5:$D$300,ROW()-1)-4)</f>
        <v>0</v>
      </c>
      <c r="H5" s="37">
        <f t="shared" si="1"/>
        <v>4</v>
      </c>
      <c r="K5" s="31">
        <f>SMALL('OPERACIONES DE FORMULAS'!$D$5:$D$35,ROW()-1)</f>
        <v>17</v>
      </c>
    </row>
    <row r="6" spans="1:11" x14ac:dyDescent="0.25">
      <c r="A6" s="33" t="str">
        <f t="shared" si="0"/>
        <v>00</v>
      </c>
      <c r="B6" s="34">
        <f>INDEX(CANCIONES!C$5:C$2500,SMALL('OPERACIONES DE FORMULAS'!$D$5:$D$300,ROW()-1)-4)</f>
        <v>0</v>
      </c>
      <c r="C6" s="35">
        <f>INDEX(CANCIONES!D$5:D$2500,SMALL('OPERACIONES DE FORMULAS'!$D$5:$D$300,ROW()-1)-4)</f>
        <v>0</v>
      </c>
      <c r="D6" s="34">
        <f>INDEX(CANCIONES!E$5:E$2500,SMALL('OPERACIONES DE FORMULAS'!$D$5:$D$300,ROW()-1)-4)</f>
        <v>0</v>
      </c>
      <c r="E6" s="35">
        <f>INDEX(CANCIONES!F$5:F$2500,SMALL('OPERACIONES DE FORMULAS'!$D$5:$D$300,ROW()-1)-4)</f>
        <v>0</v>
      </c>
      <c r="F6" s="34">
        <f>INDEX(CANCIONES!G$5:G$2500,SMALL('OPERACIONES DE FORMULAS'!$D$5:$D$300,ROW()-1)-4)</f>
        <v>0</v>
      </c>
      <c r="G6" s="35">
        <f>INDEX(CANCIONES!H$5:H$2500,SMALL('OPERACIONES DE FORMULAS'!$D$5:$D$300,ROW()-1)-4)</f>
        <v>0</v>
      </c>
      <c r="H6" s="34">
        <f t="shared" si="1"/>
        <v>5</v>
      </c>
      <c r="K6" s="32">
        <f>SMALL('OPERACIONES DE FORMULAS'!$D$5:$D$35,ROW()-1)</f>
        <v>18</v>
      </c>
    </row>
    <row r="7" spans="1:11" x14ac:dyDescent="0.25">
      <c r="A7" s="36" t="str">
        <f t="shared" si="0"/>
        <v>00</v>
      </c>
      <c r="B7" s="37">
        <f>INDEX(CANCIONES!C$5:C$2500,SMALL('OPERACIONES DE FORMULAS'!$D$5:$D$300,ROW()-1)-4)</f>
        <v>0</v>
      </c>
      <c r="C7" s="36">
        <f>INDEX(CANCIONES!D$5:D$2500,SMALL('OPERACIONES DE FORMULAS'!$D$5:$D$300,ROW()-1)-4)</f>
        <v>0</v>
      </c>
      <c r="D7" s="37">
        <f>INDEX(CANCIONES!E$5:E$2500,SMALL('OPERACIONES DE FORMULAS'!$D$5:$D$300,ROW()-1)-4)</f>
        <v>0</v>
      </c>
      <c r="E7" s="36">
        <f>INDEX(CANCIONES!F$5:F$2500,SMALL('OPERACIONES DE FORMULAS'!$D$5:$D$300,ROW()-1)-4)</f>
        <v>0</v>
      </c>
      <c r="F7" s="37">
        <f>INDEX(CANCIONES!G$5:G$2500,SMALL('OPERACIONES DE FORMULAS'!$D$5:$D$300,ROW()-1)-4)</f>
        <v>0</v>
      </c>
      <c r="G7" s="36">
        <f>INDEX(CANCIONES!H$5:H$2500,SMALL('OPERACIONES DE FORMULAS'!$D$5:$D$300,ROW()-1)-4)</f>
        <v>0</v>
      </c>
      <c r="H7" s="37">
        <f t="shared" si="1"/>
        <v>6</v>
      </c>
      <c r="K7" s="31">
        <f>SMALL('OPERACIONES DE FORMULAS'!$D$5:$D$35,ROW()-1)</f>
        <v>19</v>
      </c>
    </row>
    <row r="8" spans="1:11" x14ac:dyDescent="0.25">
      <c r="A8" s="33" t="str">
        <f t="shared" si="0"/>
        <v>00</v>
      </c>
      <c r="B8" s="34">
        <f>INDEX(CANCIONES!C$5:C$2500,SMALL('OPERACIONES DE FORMULAS'!$D$5:$D$300,ROW()-1)-4)</f>
        <v>0</v>
      </c>
      <c r="C8" s="35">
        <f>INDEX(CANCIONES!D$5:D$2500,SMALL('OPERACIONES DE FORMULAS'!$D$5:$D$300,ROW()-1)-4)</f>
        <v>0</v>
      </c>
      <c r="D8" s="34">
        <f>INDEX(CANCIONES!E$5:E$2500,SMALL('OPERACIONES DE FORMULAS'!$D$5:$D$300,ROW()-1)-4)</f>
        <v>0</v>
      </c>
      <c r="E8" s="35">
        <f>INDEX(CANCIONES!F$5:F$2500,SMALL('OPERACIONES DE FORMULAS'!$D$5:$D$300,ROW()-1)-4)</f>
        <v>0</v>
      </c>
      <c r="F8" s="34">
        <f>INDEX(CANCIONES!G$5:G$2500,SMALL('OPERACIONES DE FORMULAS'!$D$5:$D$300,ROW()-1)-4)</f>
        <v>0</v>
      </c>
      <c r="G8" s="35">
        <f>INDEX(CANCIONES!H$5:H$2500,SMALL('OPERACIONES DE FORMULAS'!$D$5:$D$300,ROW()-1)-4)</f>
        <v>0</v>
      </c>
      <c r="H8" s="34">
        <f t="shared" si="1"/>
        <v>7</v>
      </c>
      <c r="K8" s="32">
        <f>SMALL('OPERACIONES DE FORMULAS'!$D$5:$D$35,ROW()-1)</f>
        <v>20</v>
      </c>
    </row>
    <row r="9" spans="1:11" x14ac:dyDescent="0.25">
      <c r="A9" s="36" t="str">
        <f t="shared" si="0"/>
        <v>00</v>
      </c>
      <c r="B9" s="37">
        <f>INDEX(CANCIONES!C$5:C$2500,SMALL('OPERACIONES DE FORMULAS'!$D$5:$D$300,ROW()-1)-4)</f>
        <v>0</v>
      </c>
      <c r="C9" s="36">
        <f>INDEX(CANCIONES!D$5:D$2500,SMALL('OPERACIONES DE FORMULAS'!$D$5:$D$300,ROW()-1)-4)</f>
        <v>0</v>
      </c>
      <c r="D9" s="37">
        <f>INDEX(CANCIONES!E$5:E$2500,SMALL('OPERACIONES DE FORMULAS'!$D$5:$D$300,ROW()-1)-4)</f>
        <v>0</v>
      </c>
      <c r="E9" s="36">
        <f>INDEX(CANCIONES!F$5:F$2500,SMALL('OPERACIONES DE FORMULAS'!$D$5:$D$300,ROW()-1)-4)</f>
        <v>0</v>
      </c>
      <c r="F9" s="37">
        <f>INDEX(CANCIONES!G$5:G$2500,SMALL('OPERACIONES DE FORMULAS'!$D$5:$D$300,ROW()-1)-4)</f>
        <v>0</v>
      </c>
      <c r="G9" s="36">
        <f>INDEX(CANCIONES!H$5:H$2500,SMALL('OPERACIONES DE FORMULAS'!$D$5:$D$300,ROW()-1)-4)</f>
        <v>0</v>
      </c>
      <c r="H9" s="37">
        <f t="shared" si="1"/>
        <v>8</v>
      </c>
      <c r="K9" s="31">
        <f>SMALL('OPERACIONES DE FORMULAS'!$D$5:$D$35,ROW()-1)</f>
        <v>21</v>
      </c>
    </row>
    <row r="10" spans="1:11" x14ac:dyDescent="0.25">
      <c r="A10" s="33" t="str">
        <f t="shared" si="0"/>
        <v>00</v>
      </c>
      <c r="B10" s="34">
        <f>INDEX(CANCIONES!C$5:C$2500,SMALL('OPERACIONES DE FORMULAS'!$D$5:$D$300,ROW()-1)-4)</f>
        <v>0</v>
      </c>
      <c r="C10" s="35">
        <f>INDEX(CANCIONES!D$5:D$2500,SMALL('OPERACIONES DE FORMULAS'!$D$5:$D$300,ROW()-1)-4)</f>
        <v>0</v>
      </c>
      <c r="D10" s="34">
        <f>INDEX(CANCIONES!E$5:E$2500,SMALL('OPERACIONES DE FORMULAS'!$D$5:$D$300,ROW()-1)-4)</f>
        <v>0</v>
      </c>
      <c r="E10" s="35">
        <f>INDEX(CANCIONES!F$5:F$2500,SMALL('OPERACIONES DE FORMULAS'!$D$5:$D$300,ROW()-1)-4)</f>
        <v>0</v>
      </c>
      <c r="F10" s="34">
        <f>INDEX(CANCIONES!G$5:G$2500,SMALL('OPERACIONES DE FORMULAS'!$D$5:$D$300,ROW()-1)-4)</f>
        <v>0</v>
      </c>
      <c r="G10" s="35">
        <f>INDEX(CANCIONES!H$5:H$2500,SMALL('OPERACIONES DE FORMULAS'!$D$5:$D$300,ROW()-1)-4)</f>
        <v>0</v>
      </c>
      <c r="H10" s="34">
        <f t="shared" si="1"/>
        <v>9</v>
      </c>
      <c r="K10" s="32">
        <f>SMALL('OPERACIONES DE FORMULAS'!$D$5:$D$35,ROW()-1)</f>
        <v>22</v>
      </c>
    </row>
    <row r="11" spans="1:11" x14ac:dyDescent="0.25">
      <c r="A11" s="36" t="str">
        <f t="shared" si="0"/>
        <v>00</v>
      </c>
      <c r="B11" s="37">
        <f>INDEX(CANCIONES!C$5:C$2500,SMALL('OPERACIONES DE FORMULAS'!$D$5:$D$300,ROW()-1)-4)</f>
        <v>0</v>
      </c>
      <c r="C11" s="36">
        <f>INDEX(CANCIONES!D$5:D$2500,SMALL('OPERACIONES DE FORMULAS'!$D$5:$D$300,ROW()-1)-4)</f>
        <v>0</v>
      </c>
      <c r="D11" s="37">
        <f>INDEX(CANCIONES!E$5:E$2500,SMALL('OPERACIONES DE FORMULAS'!$D$5:$D$300,ROW()-1)-4)</f>
        <v>0</v>
      </c>
      <c r="E11" s="36">
        <f>INDEX(CANCIONES!F$5:F$2500,SMALL('OPERACIONES DE FORMULAS'!$D$5:$D$300,ROW()-1)-4)</f>
        <v>0</v>
      </c>
      <c r="F11" s="37">
        <f>INDEX(CANCIONES!G$5:G$2500,SMALL('OPERACIONES DE FORMULAS'!$D$5:$D$300,ROW()-1)-4)</f>
        <v>0</v>
      </c>
      <c r="G11" s="36">
        <f>INDEX(CANCIONES!H$5:H$2500,SMALL('OPERACIONES DE FORMULAS'!$D$5:$D$300,ROW()-1)-4)</f>
        <v>0</v>
      </c>
      <c r="H11" s="37">
        <f t="shared" si="1"/>
        <v>10</v>
      </c>
      <c r="K11" s="31">
        <f>SMALL('OPERACIONES DE FORMULAS'!$D$5:$D$35,ROW()-1)</f>
        <v>23</v>
      </c>
    </row>
    <row r="12" spans="1:11" x14ac:dyDescent="0.25">
      <c r="A12" s="33" t="str">
        <f t="shared" si="0"/>
        <v>00</v>
      </c>
      <c r="B12" s="34">
        <f>INDEX(CANCIONES!C$5:C$2500,SMALL('OPERACIONES DE FORMULAS'!$D$5:$D$300,ROW()-1)-4)</f>
        <v>0</v>
      </c>
      <c r="C12" s="35">
        <f>INDEX(CANCIONES!D$5:D$2500,SMALL('OPERACIONES DE FORMULAS'!$D$5:$D$300,ROW()-1)-4)</f>
        <v>0</v>
      </c>
      <c r="D12" s="34">
        <f>INDEX(CANCIONES!E$5:E$2500,SMALL('OPERACIONES DE FORMULAS'!$D$5:$D$300,ROW()-1)-4)</f>
        <v>0</v>
      </c>
      <c r="E12" s="35">
        <f>INDEX(CANCIONES!F$5:F$2500,SMALL('OPERACIONES DE FORMULAS'!$D$5:$D$300,ROW()-1)-4)</f>
        <v>0</v>
      </c>
      <c r="F12" s="34">
        <f>INDEX(CANCIONES!G$5:G$2500,SMALL('OPERACIONES DE FORMULAS'!$D$5:$D$300,ROW()-1)-4)</f>
        <v>0</v>
      </c>
      <c r="G12" s="35">
        <f>INDEX(CANCIONES!H$5:H$2500,SMALL('OPERACIONES DE FORMULAS'!$D$5:$D$300,ROW()-1)-4)</f>
        <v>0</v>
      </c>
      <c r="H12" s="34">
        <f t="shared" si="1"/>
        <v>11</v>
      </c>
      <c r="K12" s="32">
        <f>SMALL('OPERACIONES DE FORMULAS'!$D$5:$D$35,ROW()-1)</f>
        <v>24</v>
      </c>
    </row>
    <row r="13" spans="1:11" x14ac:dyDescent="0.25">
      <c r="A13" s="36" t="str">
        <f t="shared" si="0"/>
        <v>00</v>
      </c>
      <c r="B13" s="37">
        <f>INDEX(CANCIONES!C$5:C$2500,SMALL('OPERACIONES DE FORMULAS'!$D$5:$D$300,ROW()-1)-4)</f>
        <v>0</v>
      </c>
      <c r="C13" s="36">
        <f>INDEX(CANCIONES!D$5:D$2500,SMALL('OPERACIONES DE FORMULAS'!$D$5:$D$300,ROW()-1)-4)</f>
        <v>0</v>
      </c>
      <c r="D13" s="37">
        <f>INDEX(CANCIONES!E$5:E$2500,SMALL('OPERACIONES DE FORMULAS'!$D$5:$D$300,ROW()-1)-4)</f>
        <v>0</v>
      </c>
      <c r="E13" s="36">
        <f>INDEX(CANCIONES!F$5:F$2500,SMALL('OPERACIONES DE FORMULAS'!$D$5:$D$300,ROW()-1)-4)</f>
        <v>0</v>
      </c>
      <c r="F13" s="37">
        <f>INDEX(CANCIONES!G$5:G$2500,SMALL('OPERACIONES DE FORMULAS'!$D$5:$D$300,ROW()-1)-4)</f>
        <v>0</v>
      </c>
      <c r="G13" s="36">
        <f>INDEX(CANCIONES!H$5:H$2500,SMALL('OPERACIONES DE FORMULAS'!$D$5:$D$300,ROW()-1)-4)</f>
        <v>0</v>
      </c>
      <c r="H13" s="37">
        <f t="shared" si="1"/>
        <v>12</v>
      </c>
      <c r="K13" s="31">
        <f>SMALL('OPERACIONES DE FORMULAS'!$D$5:$D$35,ROW()-1)</f>
        <v>25</v>
      </c>
    </row>
    <row r="14" spans="1:11" x14ac:dyDescent="0.25">
      <c r="A14" s="33" t="str">
        <f t="shared" si="0"/>
        <v>00</v>
      </c>
      <c r="B14" s="34">
        <f>INDEX(CANCIONES!C$5:C$2500,SMALL('OPERACIONES DE FORMULAS'!$D$5:$D$300,ROW()-1)-4)</f>
        <v>0</v>
      </c>
      <c r="C14" s="35">
        <f>INDEX(CANCIONES!D$5:D$2500,SMALL('OPERACIONES DE FORMULAS'!$D$5:$D$300,ROW()-1)-4)</f>
        <v>0</v>
      </c>
      <c r="D14" s="34">
        <f>INDEX(CANCIONES!E$5:E$2500,SMALL('OPERACIONES DE FORMULAS'!$D$5:$D$300,ROW()-1)-4)</f>
        <v>0</v>
      </c>
      <c r="E14" s="35">
        <f>INDEX(CANCIONES!F$5:F$2500,SMALL('OPERACIONES DE FORMULAS'!$D$5:$D$300,ROW()-1)-4)</f>
        <v>0</v>
      </c>
      <c r="F14" s="34">
        <f>INDEX(CANCIONES!G$5:G$2500,SMALL('OPERACIONES DE FORMULAS'!$D$5:$D$300,ROW()-1)-4)</f>
        <v>0</v>
      </c>
      <c r="G14" s="35">
        <f>INDEX(CANCIONES!H$5:H$2500,SMALL('OPERACIONES DE FORMULAS'!$D$5:$D$300,ROW()-1)-4)</f>
        <v>0</v>
      </c>
      <c r="H14" s="34">
        <f t="shared" si="1"/>
        <v>13</v>
      </c>
      <c r="K14" s="32">
        <f>SMALL('OPERACIONES DE FORMULAS'!$D$5:$D$35,ROW()-1)</f>
        <v>26</v>
      </c>
    </row>
    <row r="15" spans="1:11" x14ac:dyDescent="0.25">
      <c r="A15" s="36" t="str">
        <f t="shared" si="0"/>
        <v>00</v>
      </c>
      <c r="B15" s="37">
        <f>INDEX(CANCIONES!C$5:C$2500,SMALL('OPERACIONES DE FORMULAS'!$D$5:$D$300,ROW()-1)-4)</f>
        <v>0</v>
      </c>
      <c r="C15" s="36">
        <f>INDEX(CANCIONES!D$5:D$2500,SMALL('OPERACIONES DE FORMULAS'!$D$5:$D$300,ROW()-1)-4)</f>
        <v>0</v>
      </c>
      <c r="D15" s="37">
        <f>INDEX(CANCIONES!E$5:E$2500,SMALL('OPERACIONES DE FORMULAS'!$D$5:$D$300,ROW()-1)-4)</f>
        <v>0</v>
      </c>
      <c r="E15" s="36">
        <f>INDEX(CANCIONES!F$5:F$2500,SMALL('OPERACIONES DE FORMULAS'!$D$5:$D$300,ROW()-1)-4)</f>
        <v>0</v>
      </c>
      <c r="F15" s="37">
        <f>INDEX(CANCIONES!G$5:G$2500,SMALL('OPERACIONES DE FORMULAS'!$D$5:$D$300,ROW()-1)-4)</f>
        <v>0</v>
      </c>
      <c r="G15" s="36">
        <f>INDEX(CANCIONES!H$5:H$2500,SMALL('OPERACIONES DE FORMULAS'!$D$5:$D$300,ROW()-1)-4)</f>
        <v>0</v>
      </c>
      <c r="H15" s="37">
        <f t="shared" si="1"/>
        <v>14</v>
      </c>
      <c r="K15" s="31">
        <f>SMALL('OPERACIONES DE FORMULAS'!$D$5:$D$35,ROW()-1)</f>
        <v>27</v>
      </c>
    </row>
    <row r="16" spans="1:11" x14ac:dyDescent="0.25">
      <c r="A16" s="33" t="str">
        <f t="shared" si="0"/>
        <v>00</v>
      </c>
      <c r="B16" s="34">
        <f>INDEX(CANCIONES!C$5:C$2500,SMALL('OPERACIONES DE FORMULAS'!$D$5:$D$300,ROW()-1)-4)</f>
        <v>0</v>
      </c>
      <c r="C16" s="35">
        <f>INDEX(CANCIONES!D$5:D$2500,SMALL('OPERACIONES DE FORMULAS'!$D$5:$D$300,ROW()-1)-4)</f>
        <v>0</v>
      </c>
      <c r="D16" s="34">
        <f>INDEX(CANCIONES!E$5:E$2500,SMALL('OPERACIONES DE FORMULAS'!$D$5:$D$300,ROW()-1)-4)</f>
        <v>0</v>
      </c>
      <c r="E16" s="35">
        <f>INDEX(CANCIONES!F$5:F$2500,SMALL('OPERACIONES DE FORMULAS'!$D$5:$D$300,ROW()-1)-4)</f>
        <v>0</v>
      </c>
      <c r="F16" s="34">
        <f>INDEX(CANCIONES!G$5:G$2500,SMALL('OPERACIONES DE FORMULAS'!$D$5:$D$300,ROW()-1)-4)</f>
        <v>0</v>
      </c>
      <c r="G16" s="35">
        <f>INDEX(CANCIONES!H$5:H$2500,SMALL('OPERACIONES DE FORMULAS'!$D$5:$D$300,ROW()-1)-4)</f>
        <v>0</v>
      </c>
      <c r="H16" s="34">
        <f t="shared" si="1"/>
        <v>15</v>
      </c>
      <c r="K16" s="32">
        <f>SMALL('OPERACIONES DE FORMULAS'!$D$5:$D$35,ROW()-1)</f>
        <v>28</v>
      </c>
    </row>
    <row r="17" spans="1:11" x14ac:dyDescent="0.25">
      <c r="A17" s="36" t="str">
        <f t="shared" si="0"/>
        <v>00</v>
      </c>
      <c r="B17" s="37">
        <f>INDEX(CANCIONES!C$5:C$2500,SMALL('OPERACIONES DE FORMULAS'!$D$5:$D$300,ROW()-1)-4)</f>
        <v>0</v>
      </c>
      <c r="C17" s="36">
        <f>INDEX(CANCIONES!D$5:D$2500,SMALL('OPERACIONES DE FORMULAS'!$D$5:$D$300,ROW()-1)-4)</f>
        <v>0</v>
      </c>
      <c r="D17" s="37">
        <f>INDEX(CANCIONES!E$5:E$2500,SMALL('OPERACIONES DE FORMULAS'!$D$5:$D$300,ROW()-1)-4)</f>
        <v>0</v>
      </c>
      <c r="E17" s="36">
        <f>INDEX(CANCIONES!F$5:F$2500,SMALL('OPERACIONES DE FORMULAS'!$D$5:$D$300,ROW()-1)-4)</f>
        <v>0</v>
      </c>
      <c r="F17" s="37">
        <f>INDEX(CANCIONES!G$5:G$2500,SMALL('OPERACIONES DE FORMULAS'!$D$5:$D$300,ROW()-1)-4)</f>
        <v>0</v>
      </c>
      <c r="G17" s="36">
        <f>INDEX(CANCIONES!H$5:H$2500,SMALL('OPERACIONES DE FORMULAS'!$D$5:$D$300,ROW()-1)-4)</f>
        <v>0</v>
      </c>
      <c r="H17" s="37">
        <f t="shared" si="1"/>
        <v>16</v>
      </c>
      <c r="K17" s="31">
        <f>SMALL('OPERACIONES DE FORMULAS'!$D$5:$D$35,ROW()-1)</f>
        <v>29</v>
      </c>
    </row>
    <row r="18" spans="1:11" x14ac:dyDescent="0.25">
      <c r="A18" s="33" t="str">
        <f t="shared" si="0"/>
        <v>00</v>
      </c>
      <c r="B18" s="34">
        <f>INDEX(CANCIONES!C$5:C$2500,SMALL('OPERACIONES DE FORMULAS'!$D$5:$D$300,ROW()-1)-4)</f>
        <v>0</v>
      </c>
      <c r="C18" s="35">
        <f>INDEX(CANCIONES!D$5:D$2500,SMALL('OPERACIONES DE FORMULAS'!$D$5:$D$300,ROW()-1)-4)</f>
        <v>0</v>
      </c>
      <c r="D18" s="34">
        <f>INDEX(CANCIONES!E$5:E$2500,SMALL('OPERACIONES DE FORMULAS'!$D$5:$D$300,ROW()-1)-4)</f>
        <v>0</v>
      </c>
      <c r="E18" s="35">
        <f>INDEX(CANCIONES!F$5:F$2500,SMALL('OPERACIONES DE FORMULAS'!$D$5:$D$300,ROW()-1)-4)</f>
        <v>0</v>
      </c>
      <c r="F18" s="34">
        <f>INDEX(CANCIONES!G$5:G$2500,SMALL('OPERACIONES DE FORMULAS'!$D$5:$D$300,ROW()-1)-4)</f>
        <v>0</v>
      </c>
      <c r="G18" s="35">
        <f>INDEX(CANCIONES!H$5:H$2500,SMALL('OPERACIONES DE FORMULAS'!$D$5:$D$300,ROW()-1)-4)</f>
        <v>0</v>
      </c>
      <c r="H18" s="34">
        <f t="shared" si="1"/>
        <v>17</v>
      </c>
      <c r="K18" s="32">
        <f>SMALL('OPERACIONES DE FORMULAS'!$D$5:$D$35,ROW()-1)</f>
        <v>30</v>
      </c>
    </row>
    <row r="19" spans="1:11" x14ac:dyDescent="0.25">
      <c r="A19" s="36" t="str">
        <f t="shared" si="0"/>
        <v>00</v>
      </c>
      <c r="B19" s="37">
        <f>INDEX(CANCIONES!C$5:C$2500,SMALL('OPERACIONES DE FORMULAS'!$D$5:$D$300,ROW()-1)-4)</f>
        <v>0</v>
      </c>
      <c r="C19" s="36">
        <f>INDEX(CANCIONES!D$5:D$2500,SMALL('OPERACIONES DE FORMULAS'!$D$5:$D$300,ROW()-1)-4)</f>
        <v>0</v>
      </c>
      <c r="D19" s="37">
        <f>INDEX(CANCIONES!E$5:E$2500,SMALL('OPERACIONES DE FORMULAS'!$D$5:$D$300,ROW()-1)-4)</f>
        <v>0</v>
      </c>
      <c r="E19" s="36">
        <f>INDEX(CANCIONES!F$5:F$2500,SMALL('OPERACIONES DE FORMULAS'!$D$5:$D$300,ROW()-1)-4)</f>
        <v>0</v>
      </c>
      <c r="F19" s="37">
        <f>INDEX(CANCIONES!G$5:G$2500,SMALL('OPERACIONES DE FORMULAS'!$D$5:$D$300,ROW()-1)-4)</f>
        <v>0</v>
      </c>
      <c r="G19" s="36">
        <f>INDEX(CANCIONES!H$5:H$2500,SMALL('OPERACIONES DE FORMULAS'!$D$5:$D$300,ROW()-1)-4)</f>
        <v>0</v>
      </c>
      <c r="H19" s="37">
        <f t="shared" si="1"/>
        <v>18</v>
      </c>
      <c r="K19" s="31">
        <f>SMALL('OPERACIONES DE FORMULAS'!$D$5:$D$35,ROW()-1)</f>
        <v>31</v>
      </c>
    </row>
    <row r="20" spans="1:11" x14ac:dyDescent="0.25">
      <c r="A20" s="33" t="str">
        <f t="shared" si="0"/>
        <v>00</v>
      </c>
      <c r="B20" s="34">
        <f>INDEX(CANCIONES!C$5:C$2500,SMALL('OPERACIONES DE FORMULAS'!$D$5:$D$300,ROW()-1)-4)</f>
        <v>0</v>
      </c>
      <c r="C20" s="35">
        <f>INDEX(CANCIONES!D$5:D$2500,SMALL('OPERACIONES DE FORMULAS'!$D$5:$D$300,ROW()-1)-4)</f>
        <v>0</v>
      </c>
      <c r="D20" s="34">
        <f>INDEX(CANCIONES!E$5:E$2500,SMALL('OPERACIONES DE FORMULAS'!$D$5:$D$300,ROW()-1)-4)</f>
        <v>0</v>
      </c>
      <c r="E20" s="35">
        <f>INDEX(CANCIONES!F$5:F$2500,SMALL('OPERACIONES DE FORMULAS'!$D$5:$D$300,ROW()-1)-4)</f>
        <v>0</v>
      </c>
      <c r="F20" s="34">
        <f>INDEX(CANCIONES!G$5:G$2500,SMALL('OPERACIONES DE FORMULAS'!$D$5:$D$300,ROW()-1)-4)</f>
        <v>0</v>
      </c>
      <c r="G20" s="35">
        <f>INDEX(CANCIONES!H$5:H$2500,SMALL('OPERACIONES DE FORMULAS'!$D$5:$D$300,ROW()-1)-4)</f>
        <v>0</v>
      </c>
      <c r="H20" s="34">
        <f t="shared" si="1"/>
        <v>19</v>
      </c>
      <c r="K20" s="32">
        <f>SMALL('OPERACIONES DE FORMULAS'!$D$5:$D$35,ROW()-1)</f>
        <v>32</v>
      </c>
    </row>
    <row r="21" spans="1:11" x14ac:dyDescent="0.25">
      <c r="A21" s="36" t="str">
        <f t="shared" si="0"/>
        <v>00</v>
      </c>
      <c r="B21" s="37">
        <f>INDEX(CANCIONES!C$5:C$2500,SMALL('OPERACIONES DE FORMULAS'!$D$5:$D$300,ROW()-1)-4)</f>
        <v>0</v>
      </c>
      <c r="C21" s="36">
        <f>INDEX(CANCIONES!D$5:D$2500,SMALL('OPERACIONES DE FORMULAS'!$D$5:$D$300,ROW()-1)-4)</f>
        <v>0</v>
      </c>
      <c r="D21" s="37">
        <f>INDEX(CANCIONES!E$5:E$2500,SMALL('OPERACIONES DE FORMULAS'!$D$5:$D$300,ROW()-1)-4)</f>
        <v>0</v>
      </c>
      <c r="E21" s="36">
        <f>INDEX(CANCIONES!F$5:F$2500,SMALL('OPERACIONES DE FORMULAS'!$D$5:$D$300,ROW()-1)-4)</f>
        <v>0</v>
      </c>
      <c r="F21" s="37">
        <f>INDEX(CANCIONES!G$5:G$2500,SMALL('OPERACIONES DE FORMULAS'!$D$5:$D$300,ROW()-1)-4)</f>
        <v>0</v>
      </c>
      <c r="G21" s="36">
        <f>INDEX(CANCIONES!H$5:H$2500,SMALL('OPERACIONES DE FORMULAS'!$D$5:$D$300,ROW()-1)-4)</f>
        <v>0</v>
      </c>
      <c r="H21" s="37">
        <f t="shared" si="1"/>
        <v>20</v>
      </c>
      <c r="K21" s="31">
        <f>SMALL('OPERACIONES DE FORMULAS'!$D$5:$D$35,ROW()-1)</f>
        <v>33</v>
      </c>
    </row>
    <row r="22" spans="1:11" x14ac:dyDescent="0.25">
      <c r="A22" s="33" t="str">
        <f t="shared" si="0"/>
        <v>00</v>
      </c>
      <c r="B22" s="34">
        <f>INDEX(CANCIONES!C$5:C$2500,SMALL('OPERACIONES DE FORMULAS'!$D$5:$D$300,ROW()-1)-4)</f>
        <v>0</v>
      </c>
      <c r="C22" s="35">
        <f>INDEX(CANCIONES!D$5:D$2500,SMALL('OPERACIONES DE FORMULAS'!$D$5:$D$300,ROW()-1)-4)</f>
        <v>0</v>
      </c>
      <c r="D22" s="34">
        <f>INDEX(CANCIONES!E$5:E$2500,SMALL('OPERACIONES DE FORMULAS'!$D$5:$D$300,ROW()-1)-4)</f>
        <v>0</v>
      </c>
      <c r="E22" s="35">
        <f>INDEX(CANCIONES!F$5:F$2500,SMALL('OPERACIONES DE FORMULAS'!$D$5:$D$300,ROW()-1)-4)</f>
        <v>0</v>
      </c>
      <c r="F22" s="34">
        <f>INDEX(CANCIONES!G$5:G$2500,SMALL('OPERACIONES DE FORMULAS'!$D$5:$D$300,ROW()-1)-4)</f>
        <v>0</v>
      </c>
      <c r="G22" s="35">
        <f>INDEX(CANCIONES!H$5:H$2500,SMALL('OPERACIONES DE FORMULAS'!$D$5:$D$300,ROW()-1)-4)</f>
        <v>0</v>
      </c>
      <c r="H22" s="34">
        <f t="shared" si="1"/>
        <v>21</v>
      </c>
      <c r="K22" s="32">
        <f>SMALL('OPERACIONES DE FORMULAS'!$D$5:$D$35,ROW()-1)</f>
        <v>34</v>
      </c>
    </row>
    <row r="23" spans="1:11" x14ac:dyDescent="0.25">
      <c r="A23" s="36" t="str">
        <f t="shared" si="0"/>
        <v>00</v>
      </c>
      <c r="B23" s="37">
        <f>INDEX(CANCIONES!C$5:C$2500,SMALL('OPERACIONES DE FORMULAS'!$D$5:$D$300,ROW()-1)-4)</f>
        <v>0</v>
      </c>
      <c r="C23" s="36">
        <f>INDEX(CANCIONES!D$5:D$2500,SMALL('OPERACIONES DE FORMULAS'!$D$5:$D$300,ROW()-1)-4)</f>
        <v>0</v>
      </c>
      <c r="D23" s="37">
        <f>INDEX(CANCIONES!E$5:E$2500,SMALL('OPERACIONES DE FORMULAS'!$D$5:$D$300,ROW()-1)-4)</f>
        <v>0</v>
      </c>
      <c r="E23" s="36">
        <f>INDEX(CANCIONES!F$5:F$2500,SMALL('OPERACIONES DE FORMULAS'!$D$5:$D$300,ROW()-1)-4)</f>
        <v>0</v>
      </c>
      <c r="F23" s="37">
        <f>INDEX(CANCIONES!G$5:G$2500,SMALL('OPERACIONES DE FORMULAS'!$D$5:$D$300,ROW()-1)-4)</f>
        <v>0</v>
      </c>
      <c r="G23" s="36">
        <f>INDEX(CANCIONES!H$5:H$2500,SMALL('OPERACIONES DE FORMULAS'!$D$5:$D$300,ROW()-1)-4)</f>
        <v>0</v>
      </c>
      <c r="H23" s="37">
        <f t="shared" si="1"/>
        <v>22</v>
      </c>
      <c r="K23" s="31">
        <f>SMALL('OPERACIONES DE FORMULAS'!$D$5:$D$35,ROW()-1)</f>
        <v>35</v>
      </c>
    </row>
    <row r="24" spans="1:11" x14ac:dyDescent="0.25">
      <c r="A24" s="33" t="str">
        <f t="shared" si="0"/>
        <v>00</v>
      </c>
      <c r="B24" s="34">
        <f>INDEX(CANCIONES!C$5:C$2500,SMALL('OPERACIONES DE FORMULAS'!$D$5:$D$300,ROW()-1)-4)</f>
        <v>0</v>
      </c>
      <c r="C24" s="35">
        <f>INDEX(CANCIONES!D$5:D$2500,SMALL('OPERACIONES DE FORMULAS'!$D$5:$D$300,ROW()-1)-4)</f>
        <v>0</v>
      </c>
      <c r="D24" s="34">
        <f>INDEX(CANCIONES!E$5:E$2500,SMALL('OPERACIONES DE FORMULAS'!$D$5:$D$300,ROW()-1)-4)</f>
        <v>0</v>
      </c>
      <c r="E24" s="35">
        <f>INDEX(CANCIONES!F$5:F$2500,SMALL('OPERACIONES DE FORMULAS'!$D$5:$D$300,ROW()-1)-4)</f>
        <v>0</v>
      </c>
      <c r="F24" s="34">
        <f>INDEX(CANCIONES!G$5:G$2500,SMALL('OPERACIONES DE FORMULAS'!$D$5:$D$300,ROW()-1)-4)</f>
        <v>0</v>
      </c>
      <c r="G24" s="35">
        <f>INDEX(CANCIONES!H$5:H$2500,SMALL('OPERACIONES DE FORMULAS'!$D$5:$D$300,ROW()-1)-4)</f>
        <v>0</v>
      </c>
      <c r="H24" s="34">
        <f t="shared" si="1"/>
        <v>23</v>
      </c>
      <c r="K24" s="32" t="e">
        <f>SMALL('OPERACIONES DE FORMULAS'!$D$5:$D$35,ROW()-1)</f>
        <v>#NUM!</v>
      </c>
    </row>
    <row r="25" spans="1:11" x14ac:dyDescent="0.25">
      <c r="A25" s="36" t="str">
        <f t="shared" si="0"/>
        <v>00</v>
      </c>
      <c r="B25" s="37">
        <f>INDEX(CANCIONES!C$5:C$2500,SMALL('OPERACIONES DE FORMULAS'!$D$5:$D$300,ROW()-1)-4)</f>
        <v>0</v>
      </c>
      <c r="C25" s="36">
        <f>INDEX(CANCIONES!D$5:D$2500,SMALL('OPERACIONES DE FORMULAS'!$D$5:$D$300,ROW()-1)-4)</f>
        <v>0</v>
      </c>
      <c r="D25" s="37">
        <f>INDEX(CANCIONES!E$5:E$2500,SMALL('OPERACIONES DE FORMULAS'!$D$5:$D$300,ROW()-1)-4)</f>
        <v>0</v>
      </c>
      <c r="E25" s="36">
        <f>INDEX(CANCIONES!F$5:F$2500,SMALL('OPERACIONES DE FORMULAS'!$D$5:$D$300,ROW()-1)-4)</f>
        <v>0</v>
      </c>
      <c r="F25" s="37">
        <f>INDEX(CANCIONES!G$5:G$2500,SMALL('OPERACIONES DE FORMULAS'!$D$5:$D$300,ROW()-1)-4)</f>
        <v>0</v>
      </c>
      <c r="G25" s="36">
        <f>INDEX(CANCIONES!H$5:H$2500,SMALL('OPERACIONES DE FORMULAS'!$D$5:$D$300,ROW()-1)-4)</f>
        <v>0</v>
      </c>
      <c r="H25" s="37">
        <f t="shared" si="1"/>
        <v>24</v>
      </c>
      <c r="K25" s="31" t="e">
        <f>SMALL('OPERACIONES DE FORMULAS'!$D$5:$D$35,ROW()-1)</f>
        <v>#NUM!</v>
      </c>
    </row>
    <row r="26" spans="1:11" x14ac:dyDescent="0.25">
      <c r="A26" s="33" t="str">
        <f t="shared" si="0"/>
        <v>00</v>
      </c>
      <c r="B26" s="34">
        <f>INDEX(CANCIONES!C$5:C$2500,SMALL('OPERACIONES DE FORMULAS'!$D$5:$D$300,ROW()-1)-4)</f>
        <v>0</v>
      </c>
      <c r="C26" s="35">
        <f>INDEX(CANCIONES!D$5:D$2500,SMALL('OPERACIONES DE FORMULAS'!$D$5:$D$300,ROW()-1)-4)</f>
        <v>0</v>
      </c>
      <c r="D26" s="34">
        <f>INDEX(CANCIONES!E$5:E$2500,SMALL('OPERACIONES DE FORMULAS'!$D$5:$D$300,ROW()-1)-4)</f>
        <v>0</v>
      </c>
      <c r="E26" s="35">
        <f>INDEX(CANCIONES!F$5:F$2500,SMALL('OPERACIONES DE FORMULAS'!$D$5:$D$300,ROW()-1)-4)</f>
        <v>0</v>
      </c>
      <c r="F26" s="34">
        <f>INDEX(CANCIONES!G$5:G$2500,SMALL('OPERACIONES DE FORMULAS'!$D$5:$D$300,ROW()-1)-4)</f>
        <v>0</v>
      </c>
      <c r="G26" s="35">
        <f>INDEX(CANCIONES!H$5:H$2500,SMALL('OPERACIONES DE FORMULAS'!$D$5:$D$300,ROW()-1)-4)</f>
        <v>0</v>
      </c>
      <c r="H26" s="34">
        <f t="shared" si="1"/>
        <v>25</v>
      </c>
      <c r="K26" s="32" t="e">
        <f>SMALL('OPERACIONES DE FORMULAS'!$D$5:$D$35,ROW()-1)</f>
        <v>#NUM!</v>
      </c>
    </row>
    <row r="27" spans="1:11" x14ac:dyDescent="0.25">
      <c r="A27" s="36" t="str">
        <f t="shared" si="0"/>
        <v>00</v>
      </c>
      <c r="B27" s="37">
        <f>INDEX(CANCIONES!C$5:C$2500,SMALL('OPERACIONES DE FORMULAS'!$D$5:$D$300,ROW()-1)-4)</f>
        <v>0</v>
      </c>
      <c r="C27" s="36">
        <f>INDEX(CANCIONES!D$5:D$2500,SMALL('OPERACIONES DE FORMULAS'!$D$5:$D$300,ROW()-1)-4)</f>
        <v>0</v>
      </c>
      <c r="D27" s="37">
        <f>INDEX(CANCIONES!E$5:E$2500,SMALL('OPERACIONES DE FORMULAS'!$D$5:$D$300,ROW()-1)-4)</f>
        <v>0</v>
      </c>
      <c r="E27" s="36">
        <f>INDEX(CANCIONES!F$5:F$2500,SMALL('OPERACIONES DE FORMULAS'!$D$5:$D$300,ROW()-1)-4)</f>
        <v>0</v>
      </c>
      <c r="F27" s="37">
        <f>INDEX(CANCIONES!G$5:G$2500,SMALL('OPERACIONES DE FORMULAS'!$D$5:$D$300,ROW()-1)-4)</f>
        <v>0</v>
      </c>
      <c r="G27" s="36">
        <f>INDEX(CANCIONES!H$5:H$2500,SMALL('OPERACIONES DE FORMULAS'!$D$5:$D$300,ROW()-1)-4)</f>
        <v>0</v>
      </c>
      <c r="H27" s="37">
        <f t="shared" si="1"/>
        <v>26</v>
      </c>
      <c r="K27" s="31" t="e">
        <f>SMALL('OPERACIONES DE FORMULAS'!$D$5:$D$35,ROW()-1)</f>
        <v>#NUM!</v>
      </c>
    </row>
    <row r="28" spans="1:11" x14ac:dyDescent="0.25">
      <c r="A28" s="33" t="str">
        <f t="shared" si="0"/>
        <v>00</v>
      </c>
      <c r="B28" s="34">
        <f>INDEX(CANCIONES!C$5:C$2500,SMALL('OPERACIONES DE FORMULAS'!$D$5:$D$300,ROW()-1)-4)</f>
        <v>0</v>
      </c>
      <c r="C28" s="35">
        <f>INDEX(CANCIONES!D$5:D$2500,SMALL('OPERACIONES DE FORMULAS'!$D$5:$D$300,ROW()-1)-4)</f>
        <v>0</v>
      </c>
      <c r="D28" s="34">
        <f>INDEX(CANCIONES!E$5:E$2500,SMALL('OPERACIONES DE FORMULAS'!$D$5:$D$300,ROW()-1)-4)</f>
        <v>0</v>
      </c>
      <c r="E28" s="35">
        <f>INDEX(CANCIONES!F$5:F$2500,SMALL('OPERACIONES DE FORMULAS'!$D$5:$D$300,ROW()-1)-4)</f>
        <v>0</v>
      </c>
      <c r="F28" s="34">
        <f>INDEX(CANCIONES!G$5:G$2500,SMALL('OPERACIONES DE FORMULAS'!$D$5:$D$300,ROW()-1)-4)</f>
        <v>0</v>
      </c>
      <c r="G28" s="35">
        <f>INDEX(CANCIONES!H$5:H$2500,SMALL('OPERACIONES DE FORMULAS'!$D$5:$D$300,ROW()-1)-4)</f>
        <v>0</v>
      </c>
      <c r="H28" s="34">
        <f t="shared" si="1"/>
        <v>27</v>
      </c>
      <c r="K28" s="32" t="e">
        <f>SMALL('OPERACIONES DE FORMULAS'!$D$5:$D$35,ROW()-1)</f>
        <v>#NUM!</v>
      </c>
    </row>
    <row r="29" spans="1:11" x14ac:dyDescent="0.25">
      <c r="A29" s="36" t="str">
        <f t="shared" si="0"/>
        <v>00</v>
      </c>
      <c r="B29" s="37">
        <f>INDEX(CANCIONES!C$5:C$2500,SMALL('OPERACIONES DE FORMULAS'!$D$5:$D$300,ROW()-1)-4)</f>
        <v>0</v>
      </c>
      <c r="C29" s="36">
        <f>INDEX(CANCIONES!D$5:D$2500,SMALL('OPERACIONES DE FORMULAS'!$D$5:$D$300,ROW()-1)-4)</f>
        <v>0</v>
      </c>
      <c r="D29" s="37">
        <f>INDEX(CANCIONES!E$5:E$2500,SMALL('OPERACIONES DE FORMULAS'!$D$5:$D$300,ROW()-1)-4)</f>
        <v>0</v>
      </c>
      <c r="E29" s="36">
        <f>INDEX(CANCIONES!F$5:F$2500,SMALL('OPERACIONES DE FORMULAS'!$D$5:$D$300,ROW()-1)-4)</f>
        <v>0</v>
      </c>
      <c r="F29" s="37">
        <f>INDEX(CANCIONES!G$5:G$2500,SMALL('OPERACIONES DE FORMULAS'!$D$5:$D$300,ROW()-1)-4)</f>
        <v>0</v>
      </c>
      <c r="G29" s="36">
        <f>INDEX(CANCIONES!H$5:H$2500,SMALL('OPERACIONES DE FORMULAS'!$D$5:$D$300,ROW()-1)-4)</f>
        <v>0</v>
      </c>
      <c r="H29" s="37">
        <f t="shared" si="1"/>
        <v>28</v>
      </c>
      <c r="K29" s="31" t="e">
        <f>SMALL('OPERACIONES DE FORMULAS'!$D$5:$D$35,ROW()-1)</f>
        <v>#NUM!</v>
      </c>
    </row>
    <row r="30" spans="1:11" x14ac:dyDescent="0.25">
      <c r="A30" s="33" t="str">
        <f t="shared" si="0"/>
        <v>00</v>
      </c>
      <c r="B30" s="34">
        <f>INDEX(CANCIONES!C$5:C$2500,SMALL('OPERACIONES DE FORMULAS'!$D$5:$D$300,ROW()-1)-4)</f>
        <v>0</v>
      </c>
      <c r="C30" s="35">
        <f>INDEX(CANCIONES!D$5:D$2500,SMALL('OPERACIONES DE FORMULAS'!$D$5:$D$300,ROW()-1)-4)</f>
        <v>0</v>
      </c>
      <c r="D30" s="34">
        <f>INDEX(CANCIONES!E$5:E$2500,SMALL('OPERACIONES DE FORMULAS'!$D$5:$D$300,ROW()-1)-4)</f>
        <v>0</v>
      </c>
      <c r="E30" s="35">
        <f>INDEX(CANCIONES!F$5:F$2500,SMALL('OPERACIONES DE FORMULAS'!$D$5:$D$300,ROW()-1)-4)</f>
        <v>0</v>
      </c>
      <c r="F30" s="34">
        <f>INDEX(CANCIONES!G$5:G$2500,SMALL('OPERACIONES DE FORMULAS'!$D$5:$D$300,ROW()-1)-4)</f>
        <v>0</v>
      </c>
      <c r="G30" s="35">
        <f>INDEX(CANCIONES!H$5:H$2500,SMALL('OPERACIONES DE FORMULAS'!$D$5:$D$300,ROW()-1)-4)</f>
        <v>0</v>
      </c>
      <c r="H30" s="34">
        <f t="shared" si="1"/>
        <v>29</v>
      </c>
      <c r="K30" s="32" t="e">
        <f>SMALL('OPERACIONES DE FORMULAS'!$D$5:$D$35,ROW()-1)</f>
        <v>#NUM!</v>
      </c>
    </row>
    <row r="31" spans="1:11" x14ac:dyDescent="0.25">
      <c r="A31" s="36" t="str">
        <f t="shared" si="0"/>
        <v>00</v>
      </c>
      <c r="B31" s="37">
        <f>INDEX(CANCIONES!C$5:C$2500,SMALL('OPERACIONES DE FORMULAS'!$D$5:$D$300,ROW()-1)-4)</f>
        <v>0</v>
      </c>
      <c r="C31" s="36">
        <f>INDEX(CANCIONES!D$5:D$2500,SMALL('OPERACIONES DE FORMULAS'!$D$5:$D$300,ROW()-1)-4)</f>
        <v>0</v>
      </c>
      <c r="D31" s="37">
        <f>INDEX(CANCIONES!E$5:E$2500,SMALL('OPERACIONES DE FORMULAS'!$D$5:$D$300,ROW()-1)-4)</f>
        <v>0</v>
      </c>
      <c r="E31" s="36">
        <f>INDEX(CANCIONES!F$5:F$2500,SMALL('OPERACIONES DE FORMULAS'!$D$5:$D$300,ROW()-1)-4)</f>
        <v>0</v>
      </c>
      <c r="F31" s="37">
        <f>INDEX(CANCIONES!G$5:G$2500,SMALL('OPERACIONES DE FORMULAS'!$D$5:$D$300,ROW()-1)-4)</f>
        <v>0</v>
      </c>
      <c r="G31" s="36">
        <f>INDEX(CANCIONES!H$5:H$2500,SMALL('OPERACIONES DE FORMULAS'!$D$5:$D$300,ROW()-1)-4)</f>
        <v>0</v>
      </c>
      <c r="H31" s="37">
        <f t="shared" si="1"/>
        <v>30</v>
      </c>
      <c r="K31" s="31" t="e">
        <f>SMALL('OPERACIONES DE FORMULAS'!$D$5:$D$35,ROW()-1)</f>
        <v>#NUM!</v>
      </c>
    </row>
    <row r="32" spans="1:11" x14ac:dyDescent="0.25">
      <c r="A32" s="33" t="str">
        <f t="shared" si="0"/>
        <v>00</v>
      </c>
      <c r="B32" s="34">
        <f>INDEX(CANCIONES!C$5:C$2500,SMALL('OPERACIONES DE FORMULAS'!$D$5:$D$300,ROW()-1)-4)</f>
        <v>0</v>
      </c>
      <c r="C32" s="35">
        <f>INDEX(CANCIONES!D$5:D$2500,SMALL('OPERACIONES DE FORMULAS'!$D$5:$D$300,ROW()-1)-4)</f>
        <v>0</v>
      </c>
      <c r="D32" s="34">
        <f>INDEX(CANCIONES!E$5:E$2500,SMALL('OPERACIONES DE FORMULAS'!$D$5:$D$300,ROW()-1)-4)</f>
        <v>0</v>
      </c>
      <c r="E32" s="35">
        <f>INDEX(CANCIONES!F$5:F$2500,SMALL('OPERACIONES DE FORMULAS'!$D$5:$D$300,ROW()-1)-4)</f>
        <v>0</v>
      </c>
      <c r="F32" s="34">
        <f>INDEX(CANCIONES!G$5:G$2500,SMALL('OPERACIONES DE FORMULAS'!$D$5:$D$300,ROW()-1)-4)</f>
        <v>0</v>
      </c>
      <c r="G32" s="35">
        <f>INDEX(CANCIONES!H$5:H$2500,SMALL('OPERACIONES DE FORMULAS'!$D$5:$D$300,ROW()-1)-4)</f>
        <v>0</v>
      </c>
      <c r="H32" s="34">
        <f t="shared" si="1"/>
        <v>31</v>
      </c>
      <c r="K32" s="32" t="e">
        <f>SMALL('OPERACIONES DE FORMULAS'!$D$5:$D$35,ROW()-1)</f>
        <v>#NUM!</v>
      </c>
    </row>
    <row r="33" spans="1:11" x14ac:dyDescent="0.25">
      <c r="A33" s="36" t="str">
        <f t="shared" si="0"/>
        <v>00</v>
      </c>
      <c r="B33" s="37">
        <f>INDEX(CANCIONES!C$5:C$2500,SMALL('OPERACIONES DE FORMULAS'!$D$5:$D$300,ROW()-1)-4)</f>
        <v>0</v>
      </c>
      <c r="C33" s="36">
        <f>INDEX(CANCIONES!D$5:D$2500,SMALL('OPERACIONES DE FORMULAS'!$D$5:$D$300,ROW()-1)-4)</f>
        <v>0</v>
      </c>
      <c r="D33" s="37">
        <f>INDEX(CANCIONES!E$5:E$2500,SMALL('OPERACIONES DE FORMULAS'!$D$5:$D$300,ROW()-1)-4)</f>
        <v>0</v>
      </c>
      <c r="E33" s="36">
        <f>INDEX(CANCIONES!F$5:F$2500,SMALL('OPERACIONES DE FORMULAS'!$D$5:$D$300,ROW()-1)-4)</f>
        <v>0</v>
      </c>
      <c r="F33" s="37">
        <f>INDEX(CANCIONES!G$5:G$2500,SMALL('OPERACIONES DE FORMULAS'!$D$5:$D$300,ROW()-1)-4)</f>
        <v>0</v>
      </c>
      <c r="G33" s="36">
        <f>INDEX(CANCIONES!H$5:H$2500,SMALL('OPERACIONES DE FORMULAS'!$D$5:$D$300,ROW()-1)-4)</f>
        <v>0</v>
      </c>
      <c r="H33" s="37">
        <f t="shared" si="1"/>
        <v>32</v>
      </c>
      <c r="K33" s="31" t="e">
        <f>SMALL('OPERACIONES DE FORMULAS'!$D$5:$D$35,ROW()-1)</f>
        <v>#NUM!</v>
      </c>
    </row>
    <row r="34" spans="1:11" x14ac:dyDescent="0.25">
      <c r="A34" s="33" t="str">
        <f t="shared" si="0"/>
        <v>00</v>
      </c>
      <c r="B34" s="34">
        <f>INDEX(CANCIONES!C$5:C$2500,SMALL('OPERACIONES DE FORMULAS'!$D$5:$D$300,ROW()-1)-4)</f>
        <v>0</v>
      </c>
      <c r="C34" s="35">
        <f>INDEX(CANCIONES!D$5:D$2500,SMALL('OPERACIONES DE FORMULAS'!$D$5:$D$300,ROW()-1)-4)</f>
        <v>0</v>
      </c>
      <c r="D34" s="34">
        <f>INDEX(CANCIONES!E$5:E$2500,SMALL('OPERACIONES DE FORMULAS'!$D$5:$D$300,ROW()-1)-4)</f>
        <v>0</v>
      </c>
      <c r="E34" s="35">
        <f>INDEX(CANCIONES!F$5:F$2500,SMALL('OPERACIONES DE FORMULAS'!$D$5:$D$300,ROW()-1)-4)</f>
        <v>0</v>
      </c>
      <c r="F34" s="34">
        <f>INDEX(CANCIONES!G$5:G$2500,SMALL('OPERACIONES DE FORMULAS'!$D$5:$D$300,ROW()-1)-4)</f>
        <v>0</v>
      </c>
      <c r="G34" s="35">
        <f>INDEX(CANCIONES!H$5:H$2500,SMALL('OPERACIONES DE FORMULAS'!$D$5:$D$300,ROW()-1)-4)</f>
        <v>0</v>
      </c>
      <c r="H34" s="34">
        <f t="shared" si="1"/>
        <v>33</v>
      </c>
      <c r="K34" s="32" t="e">
        <f>SMALL('OPERACIONES DE FORMULAS'!$D$5:$D$35,ROW()-1)</f>
        <v>#NUM!</v>
      </c>
    </row>
    <row r="35" spans="1:11" x14ac:dyDescent="0.25">
      <c r="A35" s="36" t="str">
        <f t="shared" si="0"/>
        <v>00</v>
      </c>
      <c r="B35" s="37">
        <f>INDEX(CANCIONES!C$5:C$2500,SMALL('OPERACIONES DE FORMULAS'!$D$5:$D$300,ROW()-1)-4)</f>
        <v>0</v>
      </c>
      <c r="C35" s="36">
        <f>INDEX(CANCIONES!D$5:D$2500,SMALL('OPERACIONES DE FORMULAS'!$D$5:$D$300,ROW()-1)-4)</f>
        <v>0</v>
      </c>
      <c r="D35" s="37">
        <f>INDEX(CANCIONES!E$5:E$2500,SMALL('OPERACIONES DE FORMULAS'!$D$5:$D$300,ROW()-1)-4)</f>
        <v>0</v>
      </c>
      <c r="E35" s="36">
        <f>INDEX(CANCIONES!F$5:F$2500,SMALL('OPERACIONES DE FORMULAS'!$D$5:$D$300,ROW()-1)-4)</f>
        <v>0</v>
      </c>
      <c r="F35" s="37">
        <f>INDEX(CANCIONES!G$5:G$2500,SMALL('OPERACIONES DE FORMULAS'!$D$5:$D$300,ROW()-1)-4)</f>
        <v>0</v>
      </c>
      <c r="G35" s="36">
        <f>INDEX(CANCIONES!H$5:H$2500,SMALL('OPERACIONES DE FORMULAS'!$D$5:$D$300,ROW()-1)-4)</f>
        <v>0</v>
      </c>
      <c r="H35" s="37">
        <f t="shared" si="1"/>
        <v>34</v>
      </c>
      <c r="K35" s="31" t="e">
        <f>SMALL('OPERACIONES DE FORMULAS'!$D$5:$D$35,ROW()-1)</f>
        <v>#NUM!</v>
      </c>
    </row>
    <row r="36" spans="1:11" x14ac:dyDescent="0.25">
      <c r="A36" s="33" t="str">
        <f t="shared" si="0"/>
        <v>00</v>
      </c>
      <c r="B36" s="34">
        <f>INDEX(CANCIONES!C$5:C$2500,SMALL('OPERACIONES DE FORMULAS'!$D$5:$D$300,ROW()-1)-4)</f>
        <v>0</v>
      </c>
      <c r="C36" s="35">
        <f>INDEX(CANCIONES!D$5:D$2500,SMALL('OPERACIONES DE FORMULAS'!$D$5:$D$300,ROW()-1)-4)</f>
        <v>0</v>
      </c>
      <c r="D36" s="34">
        <f>INDEX(CANCIONES!E$5:E$2500,SMALL('OPERACIONES DE FORMULAS'!$D$5:$D$300,ROW()-1)-4)</f>
        <v>0</v>
      </c>
      <c r="E36" s="35">
        <f>INDEX(CANCIONES!F$5:F$2500,SMALL('OPERACIONES DE FORMULAS'!$D$5:$D$300,ROW()-1)-4)</f>
        <v>0</v>
      </c>
      <c r="F36" s="34">
        <f>INDEX(CANCIONES!G$5:G$2500,SMALL('OPERACIONES DE FORMULAS'!$D$5:$D$300,ROW()-1)-4)</f>
        <v>0</v>
      </c>
      <c r="G36" s="35">
        <f>INDEX(CANCIONES!H$5:H$2500,SMALL('OPERACIONES DE FORMULAS'!$D$5:$D$300,ROW()-1)-4)</f>
        <v>0</v>
      </c>
      <c r="H36" s="34">
        <f t="shared" si="1"/>
        <v>35</v>
      </c>
      <c r="K36" s="32" t="e">
        <f>SMALL('OPERACIONES DE FORMULAS'!$D$5:$D$35,ROW()-1)</f>
        <v>#NUM!</v>
      </c>
    </row>
    <row r="37" spans="1:11" x14ac:dyDescent="0.25">
      <c r="A37" s="36" t="str">
        <f t="shared" si="0"/>
        <v>00</v>
      </c>
      <c r="B37" s="37">
        <f>INDEX(CANCIONES!C$5:C$2500,SMALL('OPERACIONES DE FORMULAS'!$D$5:$D$300,ROW()-1)-4)</f>
        <v>0</v>
      </c>
      <c r="C37" s="36">
        <f>INDEX(CANCIONES!D$5:D$2500,SMALL('OPERACIONES DE FORMULAS'!$D$5:$D$300,ROW()-1)-4)</f>
        <v>0</v>
      </c>
      <c r="D37" s="37">
        <f>INDEX(CANCIONES!E$5:E$2500,SMALL('OPERACIONES DE FORMULAS'!$D$5:$D$300,ROW()-1)-4)</f>
        <v>0</v>
      </c>
      <c r="E37" s="36">
        <f>INDEX(CANCIONES!F$5:F$2500,SMALL('OPERACIONES DE FORMULAS'!$D$5:$D$300,ROW()-1)-4)</f>
        <v>0</v>
      </c>
      <c r="F37" s="37">
        <f>INDEX(CANCIONES!G$5:G$2500,SMALL('OPERACIONES DE FORMULAS'!$D$5:$D$300,ROW()-1)-4)</f>
        <v>0</v>
      </c>
      <c r="G37" s="36">
        <f>INDEX(CANCIONES!H$5:H$2500,SMALL('OPERACIONES DE FORMULAS'!$D$5:$D$300,ROW()-1)-4)</f>
        <v>0</v>
      </c>
      <c r="H37" s="37">
        <f t="shared" si="1"/>
        <v>36</v>
      </c>
      <c r="K37" s="31" t="e">
        <f>SMALL('OPERACIONES DE FORMULAS'!$D$5:$D$35,ROW()-1)</f>
        <v>#NUM!</v>
      </c>
    </row>
    <row r="38" spans="1:11" x14ac:dyDescent="0.25">
      <c r="A38" s="33" t="str">
        <f t="shared" si="0"/>
        <v>00</v>
      </c>
      <c r="B38" s="34">
        <f>INDEX(CANCIONES!C$5:C$2500,SMALL('OPERACIONES DE FORMULAS'!$D$5:$D$300,ROW()-1)-4)</f>
        <v>0</v>
      </c>
      <c r="C38" s="35">
        <f>INDEX(CANCIONES!D$5:D$2500,SMALL('OPERACIONES DE FORMULAS'!$D$5:$D$300,ROW()-1)-4)</f>
        <v>0</v>
      </c>
      <c r="D38" s="34">
        <f>INDEX(CANCIONES!E$5:E$2500,SMALL('OPERACIONES DE FORMULAS'!$D$5:$D$300,ROW()-1)-4)</f>
        <v>0</v>
      </c>
      <c r="E38" s="35">
        <f>INDEX(CANCIONES!F$5:F$2500,SMALL('OPERACIONES DE FORMULAS'!$D$5:$D$300,ROW()-1)-4)</f>
        <v>0</v>
      </c>
      <c r="F38" s="34">
        <f>INDEX(CANCIONES!G$5:G$2500,SMALL('OPERACIONES DE FORMULAS'!$D$5:$D$300,ROW()-1)-4)</f>
        <v>0</v>
      </c>
      <c r="G38" s="35">
        <f>INDEX(CANCIONES!H$5:H$2500,SMALL('OPERACIONES DE FORMULAS'!$D$5:$D$300,ROW()-1)-4)</f>
        <v>0</v>
      </c>
      <c r="H38" s="34">
        <f t="shared" si="1"/>
        <v>37</v>
      </c>
      <c r="K38" s="32" t="e">
        <f>SMALL('OPERACIONES DE FORMULAS'!$D$5:$D$35,ROW()-1)</f>
        <v>#NUM!</v>
      </c>
    </row>
    <row r="39" spans="1:11" x14ac:dyDescent="0.25">
      <c r="A39" s="36" t="str">
        <f t="shared" si="0"/>
        <v>00</v>
      </c>
      <c r="B39" s="37">
        <f>INDEX(CANCIONES!C$5:C$2500,SMALL('OPERACIONES DE FORMULAS'!$D$5:$D$300,ROW()-1)-4)</f>
        <v>0</v>
      </c>
      <c r="C39" s="36">
        <f>INDEX(CANCIONES!D$5:D$2500,SMALL('OPERACIONES DE FORMULAS'!$D$5:$D$300,ROW()-1)-4)</f>
        <v>0</v>
      </c>
      <c r="D39" s="37">
        <f>INDEX(CANCIONES!E$5:E$2500,SMALL('OPERACIONES DE FORMULAS'!$D$5:$D$300,ROW()-1)-4)</f>
        <v>0</v>
      </c>
      <c r="E39" s="36">
        <f>INDEX(CANCIONES!F$5:F$2500,SMALL('OPERACIONES DE FORMULAS'!$D$5:$D$300,ROW()-1)-4)</f>
        <v>0</v>
      </c>
      <c r="F39" s="37">
        <f>INDEX(CANCIONES!G$5:G$2500,SMALL('OPERACIONES DE FORMULAS'!$D$5:$D$300,ROW()-1)-4)</f>
        <v>0</v>
      </c>
      <c r="G39" s="36">
        <f>INDEX(CANCIONES!H$5:H$2500,SMALL('OPERACIONES DE FORMULAS'!$D$5:$D$300,ROW()-1)-4)</f>
        <v>0</v>
      </c>
      <c r="H39" s="37">
        <f t="shared" si="1"/>
        <v>38</v>
      </c>
      <c r="K39" s="31" t="e">
        <f>SMALL('OPERACIONES DE FORMULAS'!$D$5:$D$35,ROW()-1)</f>
        <v>#NUM!</v>
      </c>
    </row>
    <row r="40" spans="1:11" x14ac:dyDescent="0.25">
      <c r="A40" s="33" t="str">
        <f t="shared" si="0"/>
        <v>00</v>
      </c>
      <c r="B40" s="34">
        <f>INDEX(CANCIONES!C$5:C$2500,SMALL('OPERACIONES DE FORMULAS'!$D$5:$D$300,ROW()-1)-4)</f>
        <v>0</v>
      </c>
      <c r="C40" s="35">
        <f>INDEX(CANCIONES!D$5:D$2500,SMALL('OPERACIONES DE FORMULAS'!$D$5:$D$300,ROW()-1)-4)</f>
        <v>0</v>
      </c>
      <c r="D40" s="34">
        <f>INDEX(CANCIONES!E$5:E$2500,SMALL('OPERACIONES DE FORMULAS'!$D$5:$D$300,ROW()-1)-4)</f>
        <v>0</v>
      </c>
      <c r="E40" s="35">
        <f>INDEX(CANCIONES!F$5:F$2500,SMALL('OPERACIONES DE FORMULAS'!$D$5:$D$300,ROW()-1)-4)</f>
        <v>0</v>
      </c>
      <c r="F40" s="34">
        <f>INDEX(CANCIONES!G$5:G$2500,SMALL('OPERACIONES DE FORMULAS'!$D$5:$D$300,ROW()-1)-4)</f>
        <v>0</v>
      </c>
      <c r="G40" s="35">
        <f>INDEX(CANCIONES!H$5:H$2500,SMALL('OPERACIONES DE FORMULAS'!$D$5:$D$300,ROW()-1)-4)</f>
        <v>0</v>
      </c>
      <c r="H40" s="34">
        <f t="shared" si="1"/>
        <v>39</v>
      </c>
      <c r="K40" s="32" t="e">
        <f>SMALL('OPERACIONES DE FORMULAS'!$D$5:$D$35,ROW()-1)</f>
        <v>#NUM!</v>
      </c>
    </row>
    <row r="41" spans="1:11" x14ac:dyDescent="0.25">
      <c r="A41" s="36" t="str">
        <f t="shared" si="0"/>
        <v>00</v>
      </c>
      <c r="B41" s="37">
        <f>INDEX(CANCIONES!C$5:C$2500,SMALL('OPERACIONES DE FORMULAS'!$D$5:$D$300,ROW()-1)-4)</f>
        <v>0</v>
      </c>
      <c r="C41" s="36">
        <f>INDEX(CANCIONES!D$5:D$2500,SMALL('OPERACIONES DE FORMULAS'!$D$5:$D$300,ROW()-1)-4)</f>
        <v>0</v>
      </c>
      <c r="D41" s="37">
        <f>INDEX(CANCIONES!E$5:E$2500,SMALL('OPERACIONES DE FORMULAS'!$D$5:$D$300,ROW()-1)-4)</f>
        <v>0</v>
      </c>
      <c r="E41" s="36">
        <f>INDEX(CANCIONES!F$5:F$2500,SMALL('OPERACIONES DE FORMULAS'!$D$5:$D$300,ROW()-1)-4)</f>
        <v>0</v>
      </c>
      <c r="F41" s="37">
        <f>INDEX(CANCIONES!G$5:G$2500,SMALL('OPERACIONES DE FORMULAS'!$D$5:$D$300,ROW()-1)-4)</f>
        <v>0</v>
      </c>
      <c r="G41" s="36">
        <f>INDEX(CANCIONES!H$5:H$2500,SMALL('OPERACIONES DE FORMULAS'!$D$5:$D$300,ROW()-1)-4)</f>
        <v>0</v>
      </c>
      <c r="H41" s="37">
        <f t="shared" si="1"/>
        <v>40</v>
      </c>
      <c r="K41" s="31" t="e">
        <f>SMALL('OPERACIONES DE FORMULAS'!$D$5:$D$35,ROW()-1)</f>
        <v>#NUM!</v>
      </c>
    </row>
    <row r="42" spans="1:11" x14ac:dyDescent="0.25">
      <c r="A42" s="33" t="str">
        <f t="shared" si="0"/>
        <v>00</v>
      </c>
      <c r="B42" s="34">
        <f>INDEX(CANCIONES!C$5:C$2500,SMALL('OPERACIONES DE FORMULAS'!$D$5:$D$300,ROW()-1)-4)</f>
        <v>0</v>
      </c>
      <c r="C42" s="35">
        <f>INDEX(CANCIONES!D$5:D$2500,SMALL('OPERACIONES DE FORMULAS'!$D$5:$D$300,ROW()-1)-4)</f>
        <v>0</v>
      </c>
      <c r="D42" s="34">
        <f>INDEX(CANCIONES!E$5:E$2500,SMALL('OPERACIONES DE FORMULAS'!$D$5:$D$300,ROW()-1)-4)</f>
        <v>0</v>
      </c>
      <c r="E42" s="35">
        <f>INDEX(CANCIONES!F$5:F$2500,SMALL('OPERACIONES DE FORMULAS'!$D$5:$D$300,ROW()-1)-4)</f>
        <v>0</v>
      </c>
      <c r="F42" s="34">
        <f>INDEX(CANCIONES!G$5:G$2500,SMALL('OPERACIONES DE FORMULAS'!$D$5:$D$300,ROW()-1)-4)</f>
        <v>0</v>
      </c>
      <c r="G42" s="35">
        <f>INDEX(CANCIONES!H$5:H$2500,SMALL('OPERACIONES DE FORMULAS'!$D$5:$D$300,ROW()-1)-4)</f>
        <v>0</v>
      </c>
      <c r="H42" s="34">
        <f t="shared" si="1"/>
        <v>41</v>
      </c>
      <c r="K42" s="32" t="e">
        <f>SMALL('OPERACIONES DE FORMULAS'!$D$5:$D$35,ROW()-1)</f>
        <v>#NUM!</v>
      </c>
    </row>
    <row r="43" spans="1:11" x14ac:dyDescent="0.25">
      <c r="A43" s="36" t="str">
        <f t="shared" si="0"/>
        <v>00</v>
      </c>
      <c r="B43" s="37">
        <f>INDEX(CANCIONES!C$5:C$2500,SMALL('OPERACIONES DE FORMULAS'!$D$5:$D$300,ROW()-1)-4)</f>
        <v>0</v>
      </c>
      <c r="C43" s="36">
        <f>INDEX(CANCIONES!D$5:D$2500,SMALL('OPERACIONES DE FORMULAS'!$D$5:$D$300,ROW()-1)-4)</f>
        <v>0</v>
      </c>
      <c r="D43" s="37">
        <f>INDEX(CANCIONES!E$5:E$2500,SMALL('OPERACIONES DE FORMULAS'!$D$5:$D$300,ROW()-1)-4)</f>
        <v>0</v>
      </c>
      <c r="E43" s="36">
        <f>INDEX(CANCIONES!F$5:F$2500,SMALL('OPERACIONES DE FORMULAS'!$D$5:$D$300,ROW()-1)-4)</f>
        <v>0</v>
      </c>
      <c r="F43" s="37">
        <f>INDEX(CANCIONES!G$5:G$2500,SMALL('OPERACIONES DE FORMULAS'!$D$5:$D$300,ROW()-1)-4)</f>
        <v>0</v>
      </c>
      <c r="G43" s="36">
        <f>INDEX(CANCIONES!H$5:H$2500,SMALL('OPERACIONES DE FORMULAS'!$D$5:$D$300,ROW()-1)-4)</f>
        <v>0</v>
      </c>
      <c r="H43" s="37">
        <f t="shared" si="1"/>
        <v>42</v>
      </c>
      <c r="K43" s="31" t="e">
        <f>SMALL('OPERACIONES DE FORMULAS'!$D$5:$D$35,ROW()-1)</f>
        <v>#NUM!</v>
      </c>
    </row>
    <row r="44" spans="1:11" x14ac:dyDescent="0.25">
      <c r="A44" s="33" t="str">
        <f t="shared" si="0"/>
        <v>00</v>
      </c>
      <c r="B44" s="34">
        <f>INDEX(CANCIONES!C$5:C$2500,SMALL('OPERACIONES DE FORMULAS'!$D$5:$D$300,ROW()-1)-4)</f>
        <v>0</v>
      </c>
      <c r="C44" s="35">
        <f>INDEX(CANCIONES!D$5:D$2500,SMALL('OPERACIONES DE FORMULAS'!$D$5:$D$300,ROW()-1)-4)</f>
        <v>0</v>
      </c>
      <c r="D44" s="34">
        <f>INDEX(CANCIONES!E$5:E$2500,SMALL('OPERACIONES DE FORMULAS'!$D$5:$D$300,ROW()-1)-4)</f>
        <v>0</v>
      </c>
      <c r="E44" s="35">
        <f>INDEX(CANCIONES!F$5:F$2500,SMALL('OPERACIONES DE FORMULAS'!$D$5:$D$300,ROW()-1)-4)</f>
        <v>0</v>
      </c>
      <c r="F44" s="34">
        <f>INDEX(CANCIONES!G$5:G$2500,SMALL('OPERACIONES DE FORMULAS'!$D$5:$D$300,ROW()-1)-4)</f>
        <v>0</v>
      </c>
      <c r="G44" s="35">
        <f>INDEX(CANCIONES!H$5:H$2500,SMALL('OPERACIONES DE FORMULAS'!$D$5:$D$300,ROW()-1)-4)</f>
        <v>0</v>
      </c>
      <c r="H44" s="34">
        <f t="shared" si="1"/>
        <v>43</v>
      </c>
      <c r="K44" s="32" t="e">
        <f>SMALL('OPERACIONES DE FORMULAS'!$D$5:$D$35,ROW()-1)</f>
        <v>#NUM!</v>
      </c>
    </row>
    <row r="45" spans="1:11" x14ac:dyDescent="0.25">
      <c r="A45" s="36" t="str">
        <f t="shared" si="0"/>
        <v>00</v>
      </c>
      <c r="B45" s="37">
        <f>INDEX(CANCIONES!C$5:C$2500,SMALL('OPERACIONES DE FORMULAS'!$D$5:$D$300,ROW()-1)-4)</f>
        <v>0</v>
      </c>
      <c r="C45" s="36">
        <f>INDEX(CANCIONES!D$5:D$2500,SMALL('OPERACIONES DE FORMULAS'!$D$5:$D$300,ROW()-1)-4)</f>
        <v>0</v>
      </c>
      <c r="D45" s="37">
        <f>INDEX(CANCIONES!E$5:E$2500,SMALL('OPERACIONES DE FORMULAS'!$D$5:$D$300,ROW()-1)-4)</f>
        <v>0</v>
      </c>
      <c r="E45" s="36">
        <f>INDEX(CANCIONES!F$5:F$2500,SMALL('OPERACIONES DE FORMULAS'!$D$5:$D$300,ROW()-1)-4)</f>
        <v>0</v>
      </c>
      <c r="F45" s="37">
        <f>INDEX(CANCIONES!G$5:G$2500,SMALL('OPERACIONES DE FORMULAS'!$D$5:$D$300,ROW()-1)-4)</f>
        <v>0</v>
      </c>
      <c r="G45" s="36">
        <f>INDEX(CANCIONES!H$5:H$2500,SMALL('OPERACIONES DE FORMULAS'!$D$5:$D$300,ROW()-1)-4)</f>
        <v>0</v>
      </c>
      <c r="H45" s="37">
        <f t="shared" si="1"/>
        <v>44</v>
      </c>
      <c r="K45" s="31" t="e">
        <f>SMALL('OPERACIONES DE FORMULAS'!$D$5:$D$35,ROW()-1)</f>
        <v>#NUM!</v>
      </c>
    </row>
    <row r="46" spans="1:11" x14ac:dyDescent="0.25">
      <c r="A46" s="33" t="str">
        <f t="shared" si="0"/>
        <v>00</v>
      </c>
      <c r="B46" s="34">
        <f>INDEX(CANCIONES!C$5:C$2500,SMALL('OPERACIONES DE FORMULAS'!$D$5:$D$300,ROW()-1)-4)</f>
        <v>0</v>
      </c>
      <c r="C46" s="35">
        <f>INDEX(CANCIONES!D$5:D$2500,SMALL('OPERACIONES DE FORMULAS'!$D$5:$D$300,ROW()-1)-4)</f>
        <v>0</v>
      </c>
      <c r="D46" s="34">
        <f>INDEX(CANCIONES!E$5:E$2500,SMALL('OPERACIONES DE FORMULAS'!$D$5:$D$300,ROW()-1)-4)</f>
        <v>0</v>
      </c>
      <c r="E46" s="35">
        <f>INDEX(CANCIONES!F$5:F$2500,SMALL('OPERACIONES DE FORMULAS'!$D$5:$D$300,ROW()-1)-4)</f>
        <v>0</v>
      </c>
      <c r="F46" s="34">
        <f>INDEX(CANCIONES!G$5:G$2500,SMALL('OPERACIONES DE FORMULAS'!$D$5:$D$300,ROW()-1)-4)</f>
        <v>0</v>
      </c>
      <c r="G46" s="35">
        <f>INDEX(CANCIONES!H$5:H$2500,SMALL('OPERACIONES DE FORMULAS'!$D$5:$D$300,ROW()-1)-4)</f>
        <v>0</v>
      </c>
      <c r="H46" s="34">
        <f t="shared" si="1"/>
        <v>45</v>
      </c>
      <c r="K46" s="32" t="e">
        <f>SMALL('OPERACIONES DE FORMULAS'!$D$5:$D$35,ROW()-1)</f>
        <v>#NUM!</v>
      </c>
    </row>
    <row r="47" spans="1:11" x14ac:dyDescent="0.25">
      <c r="A47" s="36" t="str">
        <f t="shared" si="0"/>
        <v>00</v>
      </c>
      <c r="B47" s="37">
        <f>INDEX(CANCIONES!C$5:C$2500,SMALL('OPERACIONES DE FORMULAS'!$D$5:$D$300,ROW()-1)-4)</f>
        <v>0</v>
      </c>
      <c r="C47" s="36">
        <f>INDEX(CANCIONES!D$5:D$2500,SMALL('OPERACIONES DE FORMULAS'!$D$5:$D$300,ROW()-1)-4)</f>
        <v>0</v>
      </c>
      <c r="D47" s="37">
        <f>INDEX(CANCIONES!E$5:E$2500,SMALL('OPERACIONES DE FORMULAS'!$D$5:$D$300,ROW()-1)-4)</f>
        <v>0</v>
      </c>
      <c r="E47" s="36">
        <f>INDEX(CANCIONES!F$5:F$2500,SMALL('OPERACIONES DE FORMULAS'!$D$5:$D$300,ROW()-1)-4)</f>
        <v>0</v>
      </c>
      <c r="F47" s="37">
        <f>INDEX(CANCIONES!G$5:G$2500,SMALL('OPERACIONES DE FORMULAS'!$D$5:$D$300,ROW()-1)-4)</f>
        <v>0</v>
      </c>
      <c r="G47" s="36">
        <f>INDEX(CANCIONES!H$5:H$2500,SMALL('OPERACIONES DE FORMULAS'!$D$5:$D$300,ROW()-1)-4)</f>
        <v>0</v>
      </c>
      <c r="H47" s="37">
        <f t="shared" si="1"/>
        <v>46</v>
      </c>
      <c r="K47" s="31" t="e">
        <f>SMALL('OPERACIONES DE FORMULAS'!$D$5:$D$35,ROW()-1)</f>
        <v>#NUM!</v>
      </c>
    </row>
    <row r="48" spans="1:11" x14ac:dyDescent="0.25">
      <c r="A48" s="33" t="str">
        <f t="shared" si="0"/>
        <v>00</v>
      </c>
      <c r="B48" s="34">
        <f>INDEX(CANCIONES!C$5:C$2500,SMALL('OPERACIONES DE FORMULAS'!$D$5:$D$300,ROW()-1)-4)</f>
        <v>0</v>
      </c>
      <c r="C48" s="35">
        <f>INDEX(CANCIONES!D$5:D$2500,SMALL('OPERACIONES DE FORMULAS'!$D$5:$D$300,ROW()-1)-4)</f>
        <v>0</v>
      </c>
      <c r="D48" s="34">
        <f>INDEX(CANCIONES!E$5:E$2500,SMALL('OPERACIONES DE FORMULAS'!$D$5:$D$300,ROW()-1)-4)</f>
        <v>0</v>
      </c>
      <c r="E48" s="35">
        <f>INDEX(CANCIONES!F$5:F$2500,SMALL('OPERACIONES DE FORMULAS'!$D$5:$D$300,ROW()-1)-4)</f>
        <v>0</v>
      </c>
      <c r="F48" s="34">
        <f>INDEX(CANCIONES!G$5:G$2500,SMALL('OPERACIONES DE FORMULAS'!$D$5:$D$300,ROW()-1)-4)</f>
        <v>0</v>
      </c>
      <c r="G48" s="35">
        <f>INDEX(CANCIONES!H$5:H$2500,SMALL('OPERACIONES DE FORMULAS'!$D$5:$D$300,ROW()-1)-4)</f>
        <v>0</v>
      </c>
      <c r="H48" s="34">
        <f t="shared" si="1"/>
        <v>47</v>
      </c>
      <c r="K48" s="32" t="e">
        <f>SMALL('OPERACIONES DE FORMULAS'!$D$5:$D$35,ROW()-1)</f>
        <v>#NUM!</v>
      </c>
    </row>
    <row r="49" spans="1:11" x14ac:dyDescent="0.25">
      <c r="A49" s="36" t="str">
        <f t="shared" si="0"/>
        <v>00</v>
      </c>
      <c r="B49" s="37">
        <f>INDEX(CANCIONES!C$5:C$2500,SMALL('OPERACIONES DE FORMULAS'!$D$5:$D$300,ROW()-1)-4)</f>
        <v>0</v>
      </c>
      <c r="C49" s="36">
        <f>INDEX(CANCIONES!D$5:D$2500,SMALL('OPERACIONES DE FORMULAS'!$D$5:$D$300,ROW()-1)-4)</f>
        <v>0</v>
      </c>
      <c r="D49" s="37">
        <f>INDEX(CANCIONES!E$5:E$2500,SMALL('OPERACIONES DE FORMULAS'!$D$5:$D$300,ROW()-1)-4)</f>
        <v>0</v>
      </c>
      <c r="E49" s="36">
        <f>INDEX(CANCIONES!F$5:F$2500,SMALL('OPERACIONES DE FORMULAS'!$D$5:$D$300,ROW()-1)-4)</f>
        <v>0</v>
      </c>
      <c r="F49" s="37">
        <f>INDEX(CANCIONES!G$5:G$2500,SMALL('OPERACIONES DE FORMULAS'!$D$5:$D$300,ROW()-1)-4)</f>
        <v>0</v>
      </c>
      <c r="G49" s="36">
        <f>INDEX(CANCIONES!H$5:H$2500,SMALL('OPERACIONES DE FORMULAS'!$D$5:$D$300,ROW()-1)-4)</f>
        <v>0</v>
      </c>
      <c r="H49" s="37">
        <f t="shared" si="1"/>
        <v>48</v>
      </c>
      <c r="K49" s="31" t="e">
        <f>SMALL('OPERACIONES DE FORMULAS'!$D$5:$D$35,ROW()-1)</f>
        <v>#NUM!</v>
      </c>
    </row>
    <row r="50" spans="1:11" x14ac:dyDescent="0.25">
      <c r="A50" s="33" t="str">
        <f t="shared" si="0"/>
        <v>00</v>
      </c>
      <c r="B50" s="34">
        <f>INDEX(CANCIONES!C$5:C$2500,SMALL('OPERACIONES DE FORMULAS'!$D$5:$D$300,ROW()-1)-4)</f>
        <v>0</v>
      </c>
      <c r="C50" s="35">
        <f>INDEX(CANCIONES!D$5:D$2500,SMALL('OPERACIONES DE FORMULAS'!$D$5:$D$300,ROW()-1)-4)</f>
        <v>0</v>
      </c>
      <c r="D50" s="34">
        <f>INDEX(CANCIONES!E$5:E$2500,SMALL('OPERACIONES DE FORMULAS'!$D$5:$D$300,ROW()-1)-4)</f>
        <v>0</v>
      </c>
      <c r="E50" s="35">
        <f>INDEX(CANCIONES!F$5:F$2500,SMALL('OPERACIONES DE FORMULAS'!$D$5:$D$300,ROW()-1)-4)</f>
        <v>0</v>
      </c>
      <c r="F50" s="34">
        <f>INDEX(CANCIONES!G$5:G$2500,SMALL('OPERACIONES DE FORMULAS'!$D$5:$D$300,ROW()-1)-4)</f>
        <v>0</v>
      </c>
      <c r="G50" s="35">
        <f>INDEX(CANCIONES!H$5:H$2500,SMALL('OPERACIONES DE FORMULAS'!$D$5:$D$300,ROW()-1)-4)</f>
        <v>0</v>
      </c>
      <c r="H50" s="34">
        <f t="shared" si="1"/>
        <v>49</v>
      </c>
      <c r="K50" s="32" t="e">
        <f>SMALL('OPERACIONES DE FORMULAS'!$D$5:$D$35,ROW()-1)</f>
        <v>#NUM!</v>
      </c>
    </row>
    <row r="51" spans="1:11" x14ac:dyDescent="0.25">
      <c r="A51" s="36" t="str">
        <f t="shared" si="0"/>
        <v>00</v>
      </c>
      <c r="B51" s="37">
        <f>INDEX(CANCIONES!C$5:C$2500,SMALL('OPERACIONES DE FORMULAS'!$D$5:$D$300,ROW()-1)-4)</f>
        <v>0</v>
      </c>
      <c r="C51" s="36">
        <f>INDEX(CANCIONES!D$5:D$2500,SMALL('OPERACIONES DE FORMULAS'!$D$5:$D$300,ROW()-1)-4)</f>
        <v>0</v>
      </c>
      <c r="D51" s="37">
        <f>INDEX(CANCIONES!E$5:E$2500,SMALL('OPERACIONES DE FORMULAS'!$D$5:$D$300,ROW()-1)-4)</f>
        <v>0</v>
      </c>
      <c r="E51" s="36">
        <f>INDEX(CANCIONES!F$5:F$2500,SMALL('OPERACIONES DE FORMULAS'!$D$5:$D$300,ROW()-1)-4)</f>
        <v>0</v>
      </c>
      <c r="F51" s="37">
        <f>INDEX(CANCIONES!G$5:G$2500,SMALL('OPERACIONES DE FORMULAS'!$D$5:$D$300,ROW()-1)-4)</f>
        <v>0</v>
      </c>
      <c r="G51" s="36">
        <f>INDEX(CANCIONES!H$5:H$2500,SMALL('OPERACIONES DE FORMULAS'!$D$5:$D$300,ROW()-1)-4)</f>
        <v>0</v>
      </c>
      <c r="H51" s="37">
        <f t="shared" si="1"/>
        <v>50</v>
      </c>
      <c r="K51" s="31" t="e">
        <f>SMALL('OPERACIONES DE FORMULAS'!$D$5:$D$35,ROW()-1)</f>
        <v>#NUM!</v>
      </c>
    </row>
    <row r="52" spans="1:11" x14ac:dyDescent="0.25">
      <c r="A52" s="33" t="str">
        <f t="shared" si="0"/>
        <v>00</v>
      </c>
      <c r="B52" s="34">
        <f>INDEX(CANCIONES!C$5:C$2500,SMALL('OPERACIONES DE FORMULAS'!$D$5:$D$300,ROW()-1)-4)</f>
        <v>0</v>
      </c>
      <c r="C52" s="35">
        <f>INDEX(CANCIONES!D$5:D$2500,SMALL('OPERACIONES DE FORMULAS'!$D$5:$D$300,ROW()-1)-4)</f>
        <v>0</v>
      </c>
      <c r="D52" s="34">
        <f>INDEX(CANCIONES!E$5:E$2500,SMALL('OPERACIONES DE FORMULAS'!$D$5:$D$300,ROW()-1)-4)</f>
        <v>0</v>
      </c>
      <c r="E52" s="35">
        <f>INDEX(CANCIONES!F$5:F$2500,SMALL('OPERACIONES DE FORMULAS'!$D$5:$D$300,ROW()-1)-4)</f>
        <v>0</v>
      </c>
      <c r="F52" s="34">
        <f>INDEX(CANCIONES!G$5:G$2500,SMALL('OPERACIONES DE FORMULAS'!$D$5:$D$300,ROW()-1)-4)</f>
        <v>0</v>
      </c>
      <c r="G52" s="35">
        <f>INDEX(CANCIONES!H$5:H$2500,SMALL('OPERACIONES DE FORMULAS'!$D$5:$D$300,ROW()-1)-4)</f>
        <v>0</v>
      </c>
      <c r="H52" s="34">
        <f t="shared" si="1"/>
        <v>51</v>
      </c>
      <c r="K52" s="32" t="e">
        <f>SMALL('OPERACIONES DE FORMULAS'!$D$5:$D$35,ROW()-1)</f>
        <v>#NUM!</v>
      </c>
    </row>
    <row r="53" spans="1:11" x14ac:dyDescent="0.25">
      <c r="A53" s="36" t="str">
        <f t="shared" si="0"/>
        <v>00</v>
      </c>
      <c r="B53" s="37">
        <f>INDEX(CANCIONES!C$5:C$2500,SMALL('OPERACIONES DE FORMULAS'!$D$5:$D$300,ROW()-1)-4)</f>
        <v>0</v>
      </c>
      <c r="C53" s="36">
        <f>INDEX(CANCIONES!D$5:D$2500,SMALL('OPERACIONES DE FORMULAS'!$D$5:$D$300,ROW()-1)-4)</f>
        <v>0</v>
      </c>
      <c r="D53" s="37">
        <f>INDEX(CANCIONES!E$5:E$2500,SMALL('OPERACIONES DE FORMULAS'!$D$5:$D$300,ROW()-1)-4)</f>
        <v>0</v>
      </c>
      <c r="E53" s="36">
        <f>INDEX(CANCIONES!F$5:F$2500,SMALL('OPERACIONES DE FORMULAS'!$D$5:$D$300,ROW()-1)-4)</f>
        <v>0</v>
      </c>
      <c r="F53" s="37">
        <f>INDEX(CANCIONES!G$5:G$2500,SMALL('OPERACIONES DE FORMULAS'!$D$5:$D$300,ROW()-1)-4)</f>
        <v>0</v>
      </c>
      <c r="G53" s="36">
        <f>INDEX(CANCIONES!H$5:H$2500,SMALL('OPERACIONES DE FORMULAS'!$D$5:$D$300,ROW()-1)-4)</f>
        <v>0</v>
      </c>
      <c r="H53" s="37">
        <f t="shared" si="1"/>
        <v>52</v>
      </c>
      <c r="K53" s="31" t="e">
        <f>SMALL('OPERACIONES DE FORMULAS'!$D$5:$D$35,ROW()-1)</f>
        <v>#NUM!</v>
      </c>
    </row>
    <row r="54" spans="1:11" x14ac:dyDescent="0.25">
      <c r="A54" s="33" t="str">
        <f t="shared" si="0"/>
        <v>00</v>
      </c>
      <c r="B54" s="34">
        <f>INDEX(CANCIONES!C$5:C$2500,SMALL('OPERACIONES DE FORMULAS'!$D$5:$D$300,ROW()-1)-4)</f>
        <v>0</v>
      </c>
      <c r="C54" s="35">
        <f>INDEX(CANCIONES!D$5:D$2500,SMALL('OPERACIONES DE FORMULAS'!$D$5:$D$300,ROW()-1)-4)</f>
        <v>0</v>
      </c>
      <c r="D54" s="34">
        <f>INDEX(CANCIONES!E$5:E$2500,SMALL('OPERACIONES DE FORMULAS'!$D$5:$D$300,ROW()-1)-4)</f>
        <v>0</v>
      </c>
      <c r="E54" s="35">
        <f>INDEX(CANCIONES!F$5:F$2500,SMALL('OPERACIONES DE FORMULAS'!$D$5:$D$300,ROW()-1)-4)</f>
        <v>0</v>
      </c>
      <c r="F54" s="34">
        <f>INDEX(CANCIONES!G$5:G$2500,SMALL('OPERACIONES DE FORMULAS'!$D$5:$D$300,ROW()-1)-4)</f>
        <v>0</v>
      </c>
      <c r="G54" s="35">
        <f>INDEX(CANCIONES!H$5:H$2500,SMALL('OPERACIONES DE FORMULAS'!$D$5:$D$300,ROW()-1)-4)</f>
        <v>0</v>
      </c>
      <c r="H54" s="34">
        <f t="shared" si="1"/>
        <v>53</v>
      </c>
      <c r="K54" s="32" t="e">
        <f>SMALL('OPERACIONES DE FORMULAS'!$D$5:$D$35,ROW()-1)</f>
        <v>#NUM!</v>
      </c>
    </row>
    <row r="55" spans="1:11" x14ac:dyDescent="0.25">
      <c r="A55" s="36" t="str">
        <f t="shared" si="0"/>
        <v>00</v>
      </c>
      <c r="B55" s="37">
        <f>INDEX(CANCIONES!C$5:C$2500,SMALL('OPERACIONES DE FORMULAS'!$D$5:$D$300,ROW()-1)-4)</f>
        <v>0</v>
      </c>
      <c r="C55" s="36">
        <f>INDEX(CANCIONES!D$5:D$2500,SMALL('OPERACIONES DE FORMULAS'!$D$5:$D$300,ROW()-1)-4)</f>
        <v>0</v>
      </c>
      <c r="D55" s="37">
        <f>INDEX(CANCIONES!E$5:E$2500,SMALL('OPERACIONES DE FORMULAS'!$D$5:$D$300,ROW()-1)-4)</f>
        <v>0</v>
      </c>
      <c r="E55" s="36">
        <f>INDEX(CANCIONES!F$5:F$2500,SMALL('OPERACIONES DE FORMULAS'!$D$5:$D$300,ROW()-1)-4)</f>
        <v>0</v>
      </c>
      <c r="F55" s="37">
        <f>INDEX(CANCIONES!G$5:G$2500,SMALL('OPERACIONES DE FORMULAS'!$D$5:$D$300,ROW()-1)-4)</f>
        <v>0</v>
      </c>
      <c r="G55" s="36">
        <f>INDEX(CANCIONES!H$5:H$2500,SMALL('OPERACIONES DE FORMULAS'!$D$5:$D$300,ROW()-1)-4)</f>
        <v>0</v>
      </c>
      <c r="H55" s="37">
        <f t="shared" si="1"/>
        <v>54</v>
      </c>
      <c r="K55" s="31" t="e">
        <f>SMALL('OPERACIONES DE FORMULAS'!$D$5:$D$35,ROW()-1)</f>
        <v>#NUM!</v>
      </c>
    </row>
    <row r="56" spans="1:11" x14ac:dyDescent="0.25">
      <c r="A56" s="33" t="str">
        <f t="shared" si="0"/>
        <v>00</v>
      </c>
      <c r="B56" s="34">
        <f>INDEX(CANCIONES!C$5:C$2500,SMALL('OPERACIONES DE FORMULAS'!$D$5:$D$300,ROW()-1)-4)</f>
        <v>0</v>
      </c>
      <c r="C56" s="35">
        <f>INDEX(CANCIONES!D$5:D$2500,SMALL('OPERACIONES DE FORMULAS'!$D$5:$D$300,ROW()-1)-4)</f>
        <v>0</v>
      </c>
      <c r="D56" s="34">
        <f>INDEX(CANCIONES!E$5:E$2500,SMALL('OPERACIONES DE FORMULAS'!$D$5:$D$300,ROW()-1)-4)</f>
        <v>0</v>
      </c>
      <c r="E56" s="35">
        <f>INDEX(CANCIONES!F$5:F$2500,SMALL('OPERACIONES DE FORMULAS'!$D$5:$D$300,ROW()-1)-4)</f>
        <v>0</v>
      </c>
      <c r="F56" s="34">
        <f>INDEX(CANCIONES!G$5:G$2500,SMALL('OPERACIONES DE FORMULAS'!$D$5:$D$300,ROW()-1)-4)</f>
        <v>0</v>
      </c>
      <c r="G56" s="35">
        <f>INDEX(CANCIONES!H$5:H$2500,SMALL('OPERACIONES DE FORMULAS'!$D$5:$D$300,ROW()-1)-4)</f>
        <v>0</v>
      </c>
      <c r="H56" s="34">
        <f t="shared" si="1"/>
        <v>55</v>
      </c>
      <c r="K56" s="32" t="e">
        <f>SMALL('OPERACIONES DE FORMULAS'!$D$5:$D$35,ROW()-1)</f>
        <v>#NUM!</v>
      </c>
    </row>
    <row r="57" spans="1:11" x14ac:dyDescent="0.25">
      <c r="A57" s="36" t="str">
        <f t="shared" si="0"/>
        <v>00</v>
      </c>
      <c r="B57" s="37">
        <f>INDEX(CANCIONES!C$5:C$2500,SMALL('OPERACIONES DE FORMULAS'!$D$5:$D$300,ROW()-1)-4)</f>
        <v>0</v>
      </c>
      <c r="C57" s="36">
        <f>INDEX(CANCIONES!D$5:D$2500,SMALL('OPERACIONES DE FORMULAS'!$D$5:$D$300,ROW()-1)-4)</f>
        <v>0</v>
      </c>
      <c r="D57" s="37">
        <f>INDEX(CANCIONES!E$5:E$2500,SMALL('OPERACIONES DE FORMULAS'!$D$5:$D$300,ROW()-1)-4)</f>
        <v>0</v>
      </c>
      <c r="E57" s="36">
        <f>INDEX(CANCIONES!F$5:F$2500,SMALL('OPERACIONES DE FORMULAS'!$D$5:$D$300,ROW()-1)-4)</f>
        <v>0</v>
      </c>
      <c r="F57" s="37">
        <f>INDEX(CANCIONES!G$5:G$2500,SMALL('OPERACIONES DE FORMULAS'!$D$5:$D$300,ROW()-1)-4)</f>
        <v>0</v>
      </c>
      <c r="G57" s="36">
        <f>INDEX(CANCIONES!H$5:H$2500,SMALL('OPERACIONES DE FORMULAS'!$D$5:$D$300,ROW()-1)-4)</f>
        <v>0</v>
      </c>
      <c r="H57" s="37">
        <f t="shared" si="1"/>
        <v>56</v>
      </c>
      <c r="K57" s="31" t="e">
        <f>SMALL('OPERACIONES DE FORMULAS'!$D$5:$D$35,ROW()-1)</f>
        <v>#NUM!</v>
      </c>
    </row>
    <row r="58" spans="1:11" x14ac:dyDescent="0.25">
      <c r="A58" s="33" t="str">
        <f t="shared" si="0"/>
        <v>00</v>
      </c>
      <c r="B58" s="34">
        <f>INDEX(CANCIONES!C$5:C$2500,SMALL('OPERACIONES DE FORMULAS'!$D$5:$D$300,ROW()-1)-4)</f>
        <v>0</v>
      </c>
      <c r="C58" s="35">
        <f>INDEX(CANCIONES!D$5:D$2500,SMALL('OPERACIONES DE FORMULAS'!$D$5:$D$300,ROW()-1)-4)</f>
        <v>0</v>
      </c>
      <c r="D58" s="34">
        <f>INDEX(CANCIONES!E$5:E$2500,SMALL('OPERACIONES DE FORMULAS'!$D$5:$D$300,ROW()-1)-4)</f>
        <v>0</v>
      </c>
      <c r="E58" s="35">
        <f>INDEX(CANCIONES!F$5:F$2500,SMALL('OPERACIONES DE FORMULAS'!$D$5:$D$300,ROW()-1)-4)</f>
        <v>0</v>
      </c>
      <c r="F58" s="34">
        <f>INDEX(CANCIONES!G$5:G$2500,SMALL('OPERACIONES DE FORMULAS'!$D$5:$D$300,ROW()-1)-4)</f>
        <v>0</v>
      </c>
      <c r="G58" s="35">
        <f>INDEX(CANCIONES!H$5:H$2500,SMALL('OPERACIONES DE FORMULAS'!$D$5:$D$300,ROW()-1)-4)</f>
        <v>0</v>
      </c>
      <c r="H58" s="34">
        <f t="shared" si="1"/>
        <v>57</v>
      </c>
      <c r="K58" s="32" t="e">
        <f>SMALL('OPERACIONES DE FORMULAS'!$D$5:$D$35,ROW()-1)</f>
        <v>#NUM!</v>
      </c>
    </row>
    <row r="59" spans="1:11" x14ac:dyDescent="0.25">
      <c r="A59" s="36" t="str">
        <f t="shared" si="0"/>
        <v>00</v>
      </c>
      <c r="B59" s="37">
        <f>INDEX(CANCIONES!C$5:C$2500,SMALL('OPERACIONES DE FORMULAS'!$D$5:$D$300,ROW()-1)-4)</f>
        <v>0</v>
      </c>
      <c r="C59" s="36">
        <f>INDEX(CANCIONES!D$5:D$2500,SMALL('OPERACIONES DE FORMULAS'!$D$5:$D$300,ROW()-1)-4)</f>
        <v>0</v>
      </c>
      <c r="D59" s="37">
        <f>INDEX(CANCIONES!E$5:E$2500,SMALL('OPERACIONES DE FORMULAS'!$D$5:$D$300,ROW()-1)-4)</f>
        <v>0</v>
      </c>
      <c r="E59" s="36">
        <f>INDEX(CANCIONES!F$5:F$2500,SMALL('OPERACIONES DE FORMULAS'!$D$5:$D$300,ROW()-1)-4)</f>
        <v>0</v>
      </c>
      <c r="F59" s="37">
        <f>INDEX(CANCIONES!G$5:G$2500,SMALL('OPERACIONES DE FORMULAS'!$D$5:$D$300,ROW()-1)-4)</f>
        <v>0</v>
      </c>
      <c r="G59" s="36">
        <f>INDEX(CANCIONES!H$5:H$2500,SMALL('OPERACIONES DE FORMULAS'!$D$5:$D$300,ROW()-1)-4)</f>
        <v>0</v>
      </c>
      <c r="H59" s="37">
        <f t="shared" si="1"/>
        <v>58</v>
      </c>
      <c r="K59" s="31" t="e">
        <f>SMALL('OPERACIONES DE FORMULAS'!$D$5:$D$35,ROW()-1)</f>
        <v>#NUM!</v>
      </c>
    </row>
    <row r="60" spans="1:11" x14ac:dyDescent="0.25">
      <c r="A60" s="33" t="str">
        <f t="shared" si="0"/>
        <v>00</v>
      </c>
      <c r="B60" s="34">
        <f>INDEX(CANCIONES!C$5:C$2500,SMALL('OPERACIONES DE FORMULAS'!$D$5:$D$300,ROW()-1)-4)</f>
        <v>0</v>
      </c>
      <c r="C60" s="35">
        <f>INDEX(CANCIONES!D$5:D$2500,SMALL('OPERACIONES DE FORMULAS'!$D$5:$D$300,ROW()-1)-4)</f>
        <v>0</v>
      </c>
      <c r="D60" s="34">
        <f>INDEX(CANCIONES!E$5:E$2500,SMALL('OPERACIONES DE FORMULAS'!$D$5:$D$300,ROW()-1)-4)</f>
        <v>0</v>
      </c>
      <c r="E60" s="35">
        <f>INDEX(CANCIONES!F$5:F$2500,SMALL('OPERACIONES DE FORMULAS'!$D$5:$D$300,ROW()-1)-4)</f>
        <v>0</v>
      </c>
      <c r="F60" s="34">
        <f>INDEX(CANCIONES!G$5:G$2500,SMALL('OPERACIONES DE FORMULAS'!$D$5:$D$300,ROW()-1)-4)</f>
        <v>0</v>
      </c>
      <c r="G60" s="35">
        <f>INDEX(CANCIONES!H$5:H$2500,SMALL('OPERACIONES DE FORMULAS'!$D$5:$D$300,ROW()-1)-4)</f>
        <v>0</v>
      </c>
      <c r="H60" s="34">
        <f t="shared" si="1"/>
        <v>59</v>
      </c>
      <c r="K60" s="32" t="e">
        <f>SMALL('OPERACIONES DE FORMULAS'!$D$5:$D$35,ROW()-1)</f>
        <v>#NUM!</v>
      </c>
    </row>
    <row r="61" spans="1:11" x14ac:dyDescent="0.25">
      <c r="A61" s="36" t="str">
        <f t="shared" si="0"/>
        <v>00</v>
      </c>
      <c r="B61" s="37">
        <f>INDEX(CANCIONES!C$5:C$2500,SMALL('OPERACIONES DE FORMULAS'!$D$5:$D$300,ROW()-1)-4)</f>
        <v>0</v>
      </c>
      <c r="C61" s="36">
        <f>INDEX(CANCIONES!D$5:D$2500,SMALL('OPERACIONES DE FORMULAS'!$D$5:$D$300,ROW()-1)-4)</f>
        <v>0</v>
      </c>
      <c r="D61" s="37">
        <f>INDEX(CANCIONES!E$5:E$2500,SMALL('OPERACIONES DE FORMULAS'!$D$5:$D$300,ROW()-1)-4)</f>
        <v>0</v>
      </c>
      <c r="E61" s="36">
        <f>INDEX(CANCIONES!F$5:F$2500,SMALL('OPERACIONES DE FORMULAS'!$D$5:$D$300,ROW()-1)-4)</f>
        <v>0</v>
      </c>
      <c r="F61" s="37">
        <f>INDEX(CANCIONES!G$5:G$2500,SMALL('OPERACIONES DE FORMULAS'!$D$5:$D$300,ROW()-1)-4)</f>
        <v>0</v>
      </c>
      <c r="G61" s="36">
        <f>INDEX(CANCIONES!H$5:H$2500,SMALL('OPERACIONES DE FORMULAS'!$D$5:$D$300,ROW()-1)-4)</f>
        <v>0</v>
      </c>
      <c r="H61" s="37">
        <f t="shared" si="1"/>
        <v>60</v>
      </c>
      <c r="K61" s="31" t="e">
        <f>SMALL('OPERACIONES DE FORMULAS'!$D$5:$D$35,ROW()-1)</f>
        <v>#NUM!</v>
      </c>
    </row>
    <row r="62" spans="1:11" x14ac:dyDescent="0.25">
      <c r="A62" s="33" t="str">
        <f t="shared" si="0"/>
        <v>00</v>
      </c>
      <c r="B62" s="34">
        <f>INDEX(CANCIONES!C$5:C$2500,SMALL('OPERACIONES DE FORMULAS'!$D$5:$D$300,ROW()-1)-4)</f>
        <v>0</v>
      </c>
      <c r="C62" s="35">
        <f>INDEX(CANCIONES!D$5:D$2500,SMALL('OPERACIONES DE FORMULAS'!$D$5:$D$300,ROW()-1)-4)</f>
        <v>0</v>
      </c>
      <c r="D62" s="34">
        <f>INDEX(CANCIONES!E$5:E$2500,SMALL('OPERACIONES DE FORMULAS'!$D$5:$D$300,ROW()-1)-4)</f>
        <v>0</v>
      </c>
      <c r="E62" s="35">
        <f>INDEX(CANCIONES!F$5:F$2500,SMALL('OPERACIONES DE FORMULAS'!$D$5:$D$300,ROW()-1)-4)</f>
        <v>0</v>
      </c>
      <c r="F62" s="34">
        <f>INDEX(CANCIONES!G$5:G$2500,SMALL('OPERACIONES DE FORMULAS'!$D$5:$D$300,ROW()-1)-4)</f>
        <v>0</v>
      </c>
      <c r="G62" s="35">
        <f>INDEX(CANCIONES!H$5:H$2500,SMALL('OPERACIONES DE FORMULAS'!$D$5:$D$300,ROW()-1)-4)</f>
        <v>0</v>
      </c>
      <c r="H62" s="34">
        <f t="shared" si="1"/>
        <v>61</v>
      </c>
      <c r="K62" s="32" t="e">
        <f>SMALL('OPERACIONES DE FORMULAS'!$D$5:$D$35,ROW()-1)</f>
        <v>#NUM!</v>
      </c>
    </row>
    <row r="63" spans="1:11" x14ac:dyDescent="0.25">
      <c r="A63" s="36" t="str">
        <f t="shared" si="0"/>
        <v>00</v>
      </c>
      <c r="B63" s="37">
        <f>INDEX(CANCIONES!C$5:C$2500,SMALL('OPERACIONES DE FORMULAS'!$D$5:$D$300,ROW()-1)-4)</f>
        <v>0</v>
      </c>
      <c r="C63" s="36">
        <f>INDEX(CANCIONES!D$5:D$2500,SMALL('OPERACIONES DE FORMULAS'!$D$5:$D$300,ROW()-1)-4)</f>
        <v>0</v>
      </c>
      <c r="D63" s="37">
        <f>INDEX(CANCIONES!E$5:E$2500,SMALL('OPERACIONES DE FORMULAS'!$D$5:$D$300,ROW()-1)-4)</f>
        <v>0</v>
      </c>
      <c r="E63" s="36">
        <f>INDEX(CANCIONES!F$5:F$2500,SMALL('OPERACIONES DE FORMULAS'!$D$5:$D$300,ROW()-1)-4)</f>
        <v>0</v>
      </c>
      <c r="F63" s="37">
        <f>INDEX(CANCIONES!G$5:G$2500,SMALL('OPERACIONES DE FORMULAS'!$D$5:$D$300,ROW()-1)-4)</f>
        <v>0</v>
      </c>
      <c r="G63" s="36">
        <f>INDEX(CANCIONES!H$5:H$2500,SMALL('OPERACIONES DE FORMULAS'!$D$5:$D$300,ROW()-1)-4)</f>
        <v>0</v>
      </c>
      <c r="H63" s="37">
        <f t="shared" si="1"/>
        <v>62</v>
      </c>
      <c r="K63" s="31" t="e">
        <f>SMALL('OPERACIONES DE FORMULAS'!$D$5:$D$35,ROW()-1)</f>
        <v>#NUM!</v>
      </c>
    </row>
    <row r="64" spans="1:11" x14ac:dyDescent="0.25">
      <c r="A64" s="33" t="str">
        <f t="shared" si="0"/>
        <v>00</v>
      </c>
      <c r="B64" s="34">
        <f>INDEX(CANCIONES!C$5:C$2500,SMALL('OPERACIONES DE FORMULAS'!$D$5:$D$300,ROW()-1)-4)</f>
        <v>0</v>
      </c>
      <c r="C64" s="35">
        <f>INDEX(CANCIONES!D$5:D$2500,SMALL('OPERACIONES DE FORMULAS'!$D$5:$D$300,ROW()-1)-4)</f>
        <v>0</v>
      </c>
      <c r="D64" s="34">
        <f>INDEX(CANCIONES!E$5:E$2500,SMALL('OPERACIONES DE FORMULAS'!$D$5:$D$300,ROW()-1)-4)</f>
        <v>0</v>
      </c>
      <c r="E64" s="35">
        <f>INDEX(CANCIONES!F$5:F$2500,SMALL('OPERACIONES DE FORMULAS'!$D$5:$D$300,ROW()-1)-4)</f>
        <v>0</v>
      </c>
      <c r="F64" s="34">
        <f>INDEX(CANCIONES!G$5:G$2500,SMALL('OPERACIONES DE FORMULAS'!$D$5:$D$300,ROW()-1)-4)</f>
        <v>0</v>
      </c>
      <c r="G64" s="35">
        <f>INDEX(CANCIONES!H$5:H$2500,SMALL('OPERACIONES DE FORMULAS'!$D$5:$D$300,ROW()-1)-4)</f>
        <v>0</v>
      </c>
      <c r="H64" s="34">
        <f t="shared" si="1"/>
        <v>63</v>
      </c>
      <c r="K64" s="32" t="e">
        <f>SMALL('OPERACIONES DE FORMULAS'!$D$5:$D$35,ROW()-1)</f>
        <v>#NUM!</v>
      </c>
    </row>
    <row r="65" spans="1:11" x14ac:dyDescent="0.25">
      <c r="A65" s="36" t="str">
        <f t="shared" si="0"/>
        <v>00</v>
      </c>
      <c r="B65" s="37">
        <f>INDEX(CANCIONES!C$5:C$2500,SMALL('OPERACIONES DE FORMULAS'!$D$5:$D$300,ROW()-1)-4)</f>
        <v>0</v>
      </c>
      <c r="C65" s="36">
        <f>INDEX(CANCIONES!D$5:D$2500,SMALL('OPERACIONES DE FORMULAS'!$D$5:$D$300,ROW()-1)-4)</f>
        <v>0</v>
      </c>
      <c r="D65" s="37">
        <f>INDEX(CANCIONES!E$5:E$2500,SMALL('OPERACIONES DE FORMULAS'!$D$5:$D$300,ROW()-1)-4)</f>
        <v>0</v>
      </c>
      <c r="E65" s="36">
        <f>INDEX(CANCIONES!F$5:F$2500,SMALL('OPERACIONES DE FORMULAS'!$D$5:$D$300,ROW()-1)-4)</f>
        <v>0</v>
      </c>
      <c r="F65" s="37">
        <f>INDEX(CANCIONES!G$5:G$2500,SMALL('OPERACIONES DE FORMULAS'!$D$5:$D$300,ROW()-1)-4)</f>
        <v>0</v>
      </c>
      <c r="G65" s="36">
        <f>INDEX(CANCIONES!H$5:H$2500,SMALL('OPERACIONES DE FORMULAS'!$D$5:$D$300,ROW()-1)-4)</f>
        <v>0</v>
      </c>
      <c r="H65" s="37">
        <f t="shared" si="1"/>
        <v>64</v>
      </c>
      <c r="K65" s="31" t="e">
        <f>SMALL('OPERACIONES DE FORMULAS'!$D$5:$D$35,ROW()-1)</f>
        <v>#NUM!</v>
      </c>
    </row>
    <row r="66" spans="1:11" x14ac:dyDescent="0.25">
      <c r="A66" s="33" t="str">
        <f t="shared" si="0"/>
        <v>00</v>
      </c>
      <c r="B66" s="34">
        <f>INDEX(CANCIONES!C$5:C$2500,SMALL('OPERACIONES DE FORMULAS'!$D$5:$D$300,ROW()-1)-4)</f>
        <v>0</v>
      </c>
      <c r="C66" s="35">
        <f>INDEX(CANCIONES!D$5:D$2500,SMALL('OPERACIONES DE FORMULAS'!$D$5:$D$300,ROW()-1)-4)</f>
        <v>0</v>
      </c>
      <c r="D66" s="34">
        <f>INDEX(CANCIONES!E$5:E$2500,SMALL('OPERACIONES DE FORMULAS'!$D$5:$D$300,ROW()-1)-4)</f>
        <v>0</v>
      </c>
      <c r="E66" s="35">
        <f>INDEX(CANCIONES!F$5:F$2500,SMALL('OPERACIONES DE FORMULAS'!$D$5:$D$300,ROW()-1)-4)</f>
        <v>0</v>
      </c>
      <c r="F66" s="34">
        <f>INDEX(CANCIONES!G$5:G$2500,SMALL('OPERACIONES DE FORMULAS'!$D$5:$D$300,ROW()-1)-4)</f>
        <v>0</v>
      </c>
      <c r="G66" s="35">
        <f>INDEX(CANCIONES!H$5:H$2500,SMALL('OPERACIONES DE FORMULAS'!$D$5:$D$300,ROW()-1)-4)</f>
        <v>0</v>
      </c>
      <c r="H66" s="34">
        <f t="shared" si="1"/>
        <v>65</v>
      </c>
      <c r="K66" s="32" t="e">
        <f>SMALL('OPERACIONES DE FORMULAS'!$D$5:$D$35,ROW()-1)</f>
        <v>#NUM!</v>
      </c>
    </row>
    <row r="67" spans="1:11" x14ac:dyDescent="0.25">
      <c r="A67" s="36" t="str">
        <f t="shared" ref="A67:A130" si="2">$F67&amp;$G67</f>
        <v>00</v>
      </c>
      <c r="B67" s="37">
        <f>INDEX(CANCIONES!C$5:C$2500,SMALL('OPERACIONES DE FORMULAS'!$D$5:$D$300,ROW()-1)-4)</f>
        <v>0</v>
      </c>
      <c r="C67" s="36">
        <f>INDEX(CANCIONES!D$5:D$2500,SMALL('OPERACIONES DE FORMULAS'!$D$5:$D$300,ROW()-1)-4)</f>
        <v>0</v>
      </c>
      <c r="D67" s="37">
        <f>INDEX(CANCIONES!E$5:E$2500,SMALL('OPERACIONES DE FORMULAS'!$D$5:$D$300,ROW()-1)-4)</f>
        <v>0</v>
      </c>
      <c r="E67" s="36">
        <f>INDEX(CANCIONES!F$5:F$2500,SMALL('OPERACIONES DE FORMULAS'!$D$5:$D$300,ROW()-1)-4)</f>
        <v>0</v>
      </c>
      <c r="F67" s="37">
        <f>INDEX(CANCIONES!G$5:G$2500,SMALL('OPERACIONES DE FORMULAS'!$D$5:$D$300,ROW()-1)-4)</f>
        <v>0</v>
      </c>
      <c r="G67" s="36">
        <f>INDEX(CANCIONES!H$5:H$2500,SMALL('OPERACIONES DE FORMULAS'!$D$5:$D$300,ROW()-1)-4)</f>
        <v>0</v>
      </c>
      <c r="H67" s="37">
        <f t="shared" ref="H67:H130" si="3">ROW()-1</f>
        <v>66</v>
      </c>
      <c r="K67" s="31" t="e">
        <f>SMALL('OPERACIONES DE FORMULAS'!$D$5:$D$35,ROW()-1)</f>
        <v>#NUM!</v>
      </c>
    </row>
    <row r="68" spans="1:11" x14ac:dyDescent="0.25">
      <c r="A68" s="33" t="str">
        <f t="shared" si="2"/>
        <v>00</v>
      </c>
      <c r="B68" s="34">
        <f>INDEX(CANCIONES!C$5:C$2500,SMALL('OPERACIONES DE FORMULAS'!$D$5:$D$300,ROW()-1)-4)</f>
        <v>0</v>
      </c>
      <c r="C68" s="35">
        <f>INDEX(CANCIONES!D$5:D$2500,SMALL('OPERACIONES DE FORMULAS'!$D$5:$D$300,ROW()-1)-4)</f>
        <v>0</v>
      </c>
      <c r="D68" s="34">
        <f>INDEX(CANCIONES!E$5:E$2500,SMALL('OPERACIONES DE FORMULAS'!$D$5:$D$300,ROW()-1)-4)</f>
        <v>0</v>
      </c>
      <c r="E68" s="35">
        <f>INDEX(CANCIONES!F$5:F$2500,SMALL('OPERACIONES DE FORMULAS'!$D$5:$D$300,ROW()-1)-4)</f>
        <v>0</v>
      </c>
      <c r="F68" s="34">
        <f>INDEX(CANCIONES!G$5:G$2500,SMALL('OPERACIONES DE FORMULAS'!$D$5:$D$300,ROW()-1)-4)</f>
        <v>0</v>
      </c>
      <c r="G68" s="35">
        <f>INDEX(CANCIONES!H$5:H$2500,SMALL('OPERACIONES DE FORMULAS'!$D$5:$D$300,ROW()-1)-4)</f>
        <v>0</v>
      </c>
      <c r="H68" s="34">
        <f t="shared" si="3"/>
        <v>67</v>
      </c>
      <c r="K68" s="32" t="e">
        <f>SMALL('OPERACIONES DE FORMULAS'!$D$5:$D$35,ROW()-1)</f>
        <v>#NUM!</v>
      </c>
    </row>
    <row r="69" spans="1:11" x14ac:dyDescent="0.25">
      <c r="A69" s="36" t="str">
        <f t="shared" si="2"/>
        <v>00</v>
      </c>
      <c r="B69" s="37">
        <f>INDEX(CANCIONES!C$5:C$2500,SMALL('OPERACIONES DE FORMULAS'!$D$5:$D$300,ROW()-1)-4)</f>
        <v>0</v>
      </c>
      <c r="C69" s="36">
        <f>INDEX(CANCIONES!D$5:D$2500,SMALL('OPERACIONES DE FORMULAS'!$D$5:$D$300,ROW()-1)-4)</f>
        <v>0</v>
      </c>
      <c r="D69" s="37">
        <f>INDEX(CANCIONES!E$5:E$2500,SMALL('OPERACIONES DE FORMULAS'!$D$5:$D$300,ROW()-1)-4)</f>
        <v>0</v>
      </c>
      <c r="E69" s="36">
        <f>INDEX(CANCIONES!F$5:F$2500,SMALL('OPERACIONES DE FORMULAS'!$D$5:$D$300,ROW()-1)-4)</f>
        <v>0</v>
      </c>
      <c r="F69" s="37">
        <f>INDEX(CANCIONES!G$5:G$2500,SMALL('OPERACIONES DE FORMULAS'!$D$5:$D$300,ROW()-1)-4)</f>
        <v>0</v>
      </c>
      <c r="G69" s="36">
        <f>INDEX(CANCIONES!H$5:H$2500,SMALL('OPERACIONES DE FORMULAS'!$D$5:$D$300,ROW()-1)-4)</f>
        <v>0</v>
      </c>
      <c r="H69" s="37">
        <f t="shared" si="3"/>
        <v>68</v>
      </c>
      <c r="K69" s="31" t="e">
        <f>SMALL('OPERACIONES DE FORMULAS'!$D$5:$D$35,ROW()-1)</f>
        <v>#NUM!</v>
      </c>
    </row>
    <row r="70" spans="1:11" x14ac:dyDescent="0.25">
      <c r="A70" s="33" t="str">
        <f t="shared" si="2"/>
        <v>00</v>
      </c>
      <c r="B70" s="34">
        <f>INDEX(CANCIONES!C$5:C$2500,SMALL('OPERACIONES DE FORMULAS'!$D$5:$D$300,ROW()-1)-4)</f>
        <v>0</v>
      </c>
      <c r="C70" s="35">
        <f>INDEX(CANCIONES!D$5:D$2500,SMALL('OPERACIONES DE FORMULAS'!$D$5:$D$300,ROW()-1)-4)</f>
        <v>0</v>
      </c>
      <c r="D70" s="34">
        <f>INDEX(CANCIONES!E$5:E$2500,SMALL('OPERACIONES DE FORMULAS'!$D$5:$D$300,ROW()-1)-4)</f>
        <v>0</v>
      </c>
      <c r="E70" s="35">
        <f>INDEX(CANCIONES!F$5:F$2500,SMALL('OPERACIONES DE FORMULAS'!$D$5:$D$300,ROW()-1)-4)</f>
        <v>0</v>
      </c>
      <c r="F70" s="34">
        <f>INDEX(CANCIONES!G$5:G$2500,SMALL('OPERACIONES DE FORMULAS'!$D$5:$D$300,ROW()-1)-4)</f>
        <v>0</v>
      </c>
      <c r="G70" s="35">
        <f>INDEX(CANCIONES!H$5:H$2500,SMALL('OPERACIONES DE FORMULAS'!$D$5:$D$300,ROW()-1)-4)</f>
        <v>0</v>
      </c>
      <c r="H70" s="34">
        <f t="shared" si="3"/>
        <v>69</v>
      </c>
      <c r="K70" s="32" t="e">
        <f>SMALL('OPERACIONES DE FORMULAS'!$D$5:$D$35,ROW()-1)</f>
        <v>#NUM!</v>
      </c>
    </row>
    <row r="71" spans="1:11" x14ac:dyDescent="0.25">
      <c r="A71" s="36" t="str">
        <f t="shared" si="2"/>
        <v>00</v>
      </c>
      <c r="B71" s="37">
        <f>INDEX(CANCIONES!C$5:C$2500,SMALL('OPERACIONES DE FORMULAS'!$D$5:$D$300,ROW()-1)-4)</f>
        <v>0</v>
      </c>
      <c r="C71" s="36">
        <f>INDEX(CANCIONES!D$5:D$2500,SMALL('OPERACIONES DE FORMULAS'!$D$5:$D$300,ROW()-1)-4)</f>
        <v>0</v>
      </c>
      <c r="D71" s="37">
        <f>INDEX(CANCIONES!E$5:E$2500,SMALL('OPERACIONES DE FORMULAS'!$D$5:$D$300,ROW()-1)-4)</f>
        <v>0</v>
      </c>
      <c r="E71" s="36">
        <f>INDEX(CANCIONES!F$5:F$2500,SMALL('OPERACIONES DE FORMULAS'!$D$5:$D$300,ROW()-1)-4)</f>
        <v>0</v>
      </c>
      <c r="F71" s="37">
        <f>INDEX(CANCIONES!G$5:G$2500,SMALL('OPERACIONES DE FORMULAS'!$D$5:$D$300,ROW()-1)-4)</f>
        <v>0</v>
      </c>
      <c r="G71" s="36">
        <f>INDEX(CANCIONES!H$5:H$2500,SMALL('OPERACIONES DE FORMULAS'!$D$5:$D$300,ROW()-1)-4)</f>
        <v>0</v>
      </c>
      <c r="H71" s="37">
        <f t="shared" si="3"/>
        <v>70</v>
      </c>
      <c r="K71" s="31" t="e">
        <f>SMALL('OPERACIONES DE FORMULAS'!$D$5:$D$35,ROW()-1)</f>
        <v>#NUM!</v>
      </c>
    </row>
    <row r="72" spans="1:11" x14ac:dyDescent="0.25">
      <c r="A72" s="33" t="str">
        <f t="shared" si="2"/>
        <v>00</v>
      </c>
      <c r="B72" s="34">
        <f>INDEX(CANCIONES!C$5:C$2500,SMALL('OPERACIONES DE FORMULAS'!$D$5:$D$300,ROW()-1)-4)</f>
        <v>0</v>
      </c>
      <c r="C72" s="35">
        <f>INDEX(CANCIONES!D$5:D$2500,SMALL('OPERACIONES DE FORMULAS'!$D$5:$D$300,ROW()-1)-4)</f>
        <v>0</v>
      </c>
      <c r="D72" s="34">
        <f>INDEX(CANCIONES!E$5:E$2500,SMALL('OPERACIONES DE FORMULAS'!$D$5:$D$300,ROW()-1)-4)</f>
        <v>0</v>
      </c>
      <c r="E72" s="35">
        <f>INDEX(CANCIONES!F$5:F$2500,SMALL('OPERACIONES DE FORMULAS'!$D$5:$D$300,ROW()-1)-4)</f>
        <v>0</v>
      </c>
      <c r="F72" s="34">
        <f>INDEX(CANCIONES!G$5:G$2500,SMALL('OPERACIONES DE FORMULAS'!$D$5:$D$300,ROW()-1)-4)</f>
        <v>0</v>
      </c>
      <c r="G72" s="35">
        <f>INDEX(CANCIONES!H$5:H$2500,SMALL('OPERACIONES DE FORMULAS'!$D$5:$D$300,ROW()-1)-4)</f>
        <v>0</v>
      </c>
      <c r="H72" s="34">
        <f t="shared" si="3"/>
        <v>71</v>
      </c>
      <c r="K72" s="32" t="e">
        <f>SMALL('OPERACIONES DE FORMULAS'!$D$5:$D$35,ROW()-1)</f>
        <v>#NUM!</v>
      </c>
    </row>
    <row r="73" spans="1:11" x14ac:dyDescent="0.25">
      <c r="A73" s="36" t="str">
        <f t="shared" si="2"/>
        <v>00</v>
      </c>
      <c r="B73" s="37">
        <f>INDEX(CANCIONES!C$5:C$2500,SMALL('OPERACIONES DE FORMULAS'!$D$5:$D$300,ROW()-1)-4)</f>
        <v>0</v>
      </c>
      <c r="C73" s="36">
        <f>INDEX(CANCIONES!D$5:D$2500,SMALL('OPERACIONES DE FORMULAS'!$D$5:$D$300,ROW()-1)-4)</f>
        <v>0</v>
      </c>
      <c r="D73" s="37">
        <f>INDEX(CANCIONES!E$5:E$2500,SMALL('OPERACIONES DE FORMULAS'!$D$5:$D$300,ROW()-1)-4)</f>
        <v>0</v>
      </c>
      <c r="E73" s="36">
        <f>INDEX(CANCIONES!F$5:F$2500,SMALL('OPERACIONES DE FORMULAS'!$D$5:$D$300,ROW()-1)-4)</f>
        <v>0</v>
      </c>
      <c r="F73" s="37">
        <f>INDEX(CANCIONES!G$5:G$2500,SMALL('OPERACIONES DE FORMULAS'!$D$5:$D$300,ROW()-1)-4)</f>
        <v>0</v>
      </c>
      <c r="G73" s="36">
        <f>INDEX(CANCIONES!H$5:H$2500,SMALL('OPERACIONES DE FORMULAS'!$D$5:$D$300,ROW()-1)-4)</f>
        <v>0</v>
      </c>
      <c r="H73" s="37">
        <f t="shared" si="3"/>
        <v>72</v>
      </c>
      <c r="K73" s="31" t="e">
        <f>SMALL('OPERACIONES DE FORMULAS'!$D$5:$D$35,ROW()-1)</f>
        <v>#NUM!</v>
      </c>
    </row>
    <row r="74" spans="1:11" x14ac:dyDescent="0.25">
      <c r="A74" s="33" t="str">
        <f t="shared" si="2"/>
        <v>00</v>
      </c>
      <c r="B74" s="34">
        <f>INDEX(CANCIONES!C$5:C$2500,SMALL('OPERACIONES DE FORMULAS'!$D$5:$D$300,ROW()-1)-4)</f>
        <v>0</v>
      </c>
      <c r="C74" s="35">
        <f>INDEX(CANCIONES!D$5:D$2500,SMALL('OPERACIONES DE FORMULAS'!$D$5:$D$300,ROW()-1)-4)</f>
        <v>0</v>
      </c>
      <c r="D74" s="34">
        <f>INDEX(CANCIONES!E$5:E$2500,SMALL('OPERACIONES DE FORMULAS'!$D$5:$D$300,ROW()-1)-4)</f>
        <v>0</v>
      </c>
      <c r="E74" s="35">
        <f>INDEX(CANCIONES!F$5:F$2500,SMALL('OPERACIONES DE FORMULAS'!$D$5:$D$300,ROW()-1)-4)</f>
        <v>0</v>
      </c>
      <c r="F74" s="34">
        <f>INDEX(CANCIONES!G$5:G$2500,SMALL('OPERACIONES DE FORMULAS'!$D$5:$D$300,ROW()-1)-4)</f>
        <v>0</v>
      </c>
      <c r="G74" s="35">
        <f>INDEX(CANCIONES!H$5:H$2500,SMALL('OPERACIONES DE FORMULAS'!$D$5:$D$300,ROW()-1)-4)</f>
        <v>0</v>
      </c>
      <c r="H74" s="34">
        <f t="shared" si="3"/>
        <v>73</v>
      </c>
      <c r="K74" s="32" t="e">
        <f>SMALL('OPERACIONES DE FORMULAS'!$D$5:$D$35,ROW()-1)</f>
        <v>#NUM!</v>
      </c>
    </row>
    <row r="75" spans="1:11" x14ac:dyDescent="0.25">
      <c r="A75" s="36" t="str">
        <f t="shared" si="2"/>
        <v>00</v>
      </c>
      <c r="B75" s="37">
        <f>INDEX(CANCIONES!C$5:C$2500,SMALL('OPERACIONES DE FORMULAS'!$D$5:$D$300,ROW()-1)-4)</f>
        <v>0</v>
      </c>
      <c r="C75" s="36">
        <f>INDEX(CANCIONES!D$5:D$2500,SMALL('OPERACIONES DE FORMULAS'!$D$5:$D$300,ROW()-1)-4)</f>
        <v>0</v>
      </c>
      <c r="D75" s="37">
        <f>INDEX(CANCIONES!E$5:E$2500,SMALL('OPERACIONES DE FORMULAS'!$D$5:$D$300,ROW()-1)-4)</f>
        <v>0</v>
      </c>
      <c r="E75" s="36">
        <f>INDEX(CANCIONES!F$5:F$2500,SMALL('OPERACIONES DE FORMULAS'!$D$5:$D$300,ROW()-1)-4)</f>
        <v>0</v>
      </c>
      <c r="F75" s="37">
        <f>INDEX(CANCIONES!G$5:G$2500,SMALL('OPERACIONES DE FORMULAS'!$D$5:$D$300,ROW()-1)-4)</f>
        <v>0</v>
      </c>
      <c r="G75" s="36">
        <f>INDEX(CANCIONES!H$5:H$2500,SMALL('OPERACIONES DE FORMULAS'!$D$5:$D$300,ROW()-1)-4)</f>
        <v>0</v>
      </c>
      <c r="H75" s="37">
        <f t="shared" si="3"/>
        <v>74</v>
      </c>
      <c r="K75" s="31" t="e">
        <f>SMALL('OPERACIONES DE FORMULAS'!$D$5:$D$35,ROW()-1)</f>
        <v>#NUM!</v>
      </c>
    </row>
    <row r="76" spans="1:11" x14ac:dyDescent="0.25">
      <c r="A76" s="33" t="str">
        <f t="shared" si="2"/>
        <v>00</v>
      </c>
      <c r="B76" s="34">
        <f>INDEX(CANCIONES!C$5:C$2500,SMALL('OPERACIONES DE FORMULAS'!$D$5:$D$300,ROW()-1)-4)</f>
        <v>0</v>
      </c>
      <c r="C76" s="35">
        <f>INDEX(CANCIONES!D$5:D$2500,SMALL('OPERACIONES DE FORMULAS'!$D$5:$D$300,ROW()-1)-4)</f>
        <v>0</v>
      </c>
      <c r="D76" s="34">
        <f>INDEX(CANCIONES!E$5:E$2500,SMALL('OPERACIONES DE FORMULAS'!$D$5:$D$300,ROW()-1)-4)</f>
        <v>0</v>
      </c>
      <c r="E76" s="35">
        <f>INDEX(CANCIONES!F$5:F$2500,SMALL('OPERACIONES DE FORMULAS'!$D$5:$D$300,ROW()-1)-4)</f>
        <v>0</v>
      </c>
      <c r="F76" s="34">
        <f>INDEX(CANCIONES!G$5:G$2500,SMALL('OPERACIONES DE FORMULAS'!$D$5:$D$300,ROW()-1)-4)</f>
        <v>0</v>
      </c>
      <c r="G76" s="35">
        <f>INDEX(CANCIONES!H$5:H$2500,SMALL('OPERACIONES DE FORMULAS'!$D$5:$D$300,ROW()-1)-4)</f>
        <v>0</v>
      </c>
      <c r="H76" s="34">
        <f t="shared" si="3"/>
        <v>75</v>
      </c>
      <c r="K76" s="32" t="e">
        <f>SMALL('OPERACIONES DE FORMULAS'!$D$5:$D$35,ROW()-1)</f>
        <v>#NUM!</v>
      </c>
    </row>
    <row r="77" spans="1:11" x14ac:dyDescent="0.25">
      <c r="A77" s="36" t="str">
        <f t="shared" si="2"/>
        <v>00</v>
      </c>
      <c r="B77" s="37">
        <f>INDEX(CANCIONES!C$5:C$2500,SMALL('OPERACIONES DE FORMULAS'!$D$5:$D$300,ROW()-1)-4)</f>
        <v>0</v>
      </c>
      <c r="C77" s="36">
        <f>INDEX(CANCIONES!D$5:D$2500,SMALL('OPERACIONES DE FORMULAS'!$D$5:$D$300,ROW()-1)-4)</f>
        <v>0</v>
      </c>
      <c r="D77" s="37">
        <f>INDEX(CANCIONES!E$5:E$2500,SMALL('OPERACIONES DE FORMULAS'!$D$5:$D$300,ROW()-1)-4)</f>
        <v>0</v>
      </c>
      <c r="E77" s="36">
        <f>INDEX(CANCIONES!F$5:F$2500,SMALL('OPERACIONES DE FORMULAS'!$D$5:$D$300,ROW()-1)-4)</f>
        <v>0</v>
      </c>
      <c r="F77" s="37">
        <f>INDEX(CANCIONES!G$5:G$2500,SMALL('OPERACIONES DE FORMULAS'!$D$5:$D$300,ROW()-1)-4)</f>
        <v>0</v>
      </c>
      <c r="G77" s="36">
        <f>INDEX(CANCIONES!H$5:H$2500,SMALL('OPERACIONES DE FORMULAS'!$D$5:$D$300,ROW()-1)-4)</f>
        <v>0</v>
      </c>
      <c r="H77" s="37">
        <f t="shared" si="3"/>
        <v>76</v>
      </c>
      <c r="K77" s="31" t="e">
        <f>SMALL('OPERACIONES DE FORMULAS'!$D$5:$D$35,ROW()-1)</f>
        <v>#NUM!</v>
      </c>
    </row>
    <row r="78" spans="1:11" x14ac:dyDescent="0.25">
      <c r="A78" s="33" t="str">
        <f t="shared" si="2"/>
        <v>00</v>
      </c>
      <c r="B78" s="34">
        <f>INDEX(CANCIONES!C$5:C$2500,SMALL('OPERACIONES DE FORMULAS'!$D$5:$D$300,ROW()-1)-4)</f>
        <v>0</v>
      </c>
      <c r="C78" s="35">
        <f>INDEX(CANCIONES!D$5:D$2500,SMALL('OPERACIONES DE FORMULAS'!$D$5:$D$300,ROW()-1)-4)</f>
        <v>0</v>
      </c>
      <c r="D78" s="34">
        <f>INDEX(CANCIONES!E$5:E$2500,SMALL('OPERACIONES DE FORMULAS'!$D$5:$D$300,ROW()-1)-4)</f>
        <v>0</v>
      </c>
      <c r="E78" s="35">
        <f>INDEX(CANCIONES!F$5:F$2500,SMALL('OPERACIONES DE FORMULAS'!$D$5:$D$300,ROW()-1)-4)</f>
        <v>0</v>
      </c>
      <c r="F78" s="34">
        <f>INDEX(CANCIONES!G$5:G$2500,SMALL('OPERACIONES DE FORMULAS'!$D$5:$D$300,ROW()-1)-4)</f>
        <v>0</v>
      </c>
      <c r="G78" s="35">
        <f>INDEX(CANCIONES!H$5:H$2500,SMALL('OPERACIONES DE FORMULAS'!$D$5:$D$300,ROW()-1)-4)</f>
        <v>0</v>
      </c>
      <c r="H78" s="34">
        <f t="shared" si="3"/>
        <v>77</v>
      </c>
      <c r="K78" s="32" t="e">
        <f>SMALL('OPERACIONES DE FORMULAS'!$D$5:$D$35,ROW()-1)</f>
        <v>#NUM!</v>
      </c>
    </row>
    <row r="79" spans="1:11" x14ac:dyDescent="0.25">
      <c r="A79" s="36" t="str">
        <f t="shared" si="2"/>
        <v>00</v>
      </c>
      <c r="B79" s="37">
        <f>INDEX(CANCIONES!C$5:C$2500,SMALL('OPERACIONES DE FORMULAS'!$D$5:$D$300,ROW()-1)-4)</f>
        <v>0</v>
      </c>
      <c r="C79" s="36">
        <f>INDEX(CANCIONES!D$5:D$2500,SMALL('OPERACIONES DE FORMULAS'!$D$5:$D$300,ROW()-1)-4)</f>
        <v>0</v>
      </c>
      <c r="D79" s="37">
        <f>INDEX(CANCIONES!E$5:E$2500,SMALL('OPERACIONES DE FORMULAS'!$D$5:$D$300,ROW()-1)-4)</f>
        <v>0</v>
      </c>
      <c r="E79" s="36">
        <f>INDEX(CANCIONES!F$5:F$2500,SMALL('OPERACIONES DE FORMULAS'!$D$5:$D$300,ROW()-1)-4)</f>
        <v>0</v>
      </c>
      <c r="F79" s="37">
        <f>INDEX(CANCIONES!G$5:G$2500,SMALL('OPERACIONES DE FORMULAS'!$D$5:$D$300,ROW()-1)-4)</f>
        <v>0</v>
      </c>
      <c r="G79" s="36">
        <f>INDEX(CANCIONES!H$5:H$2500,SMALL('OPERACIONES DE FORMULAS'!$D$5:$D$300,ROW()-1)-4)</f>
        <v>0</v>
      </c>
      <c r="H79" s="37">
        <f t="shared" si="3"/>
        <v>78</v>
      </c>
      <c r="K79" s="31" t="e">
        <f>SMALL('OPERACIONES DE FORMULAS'!$D$5:$D$35,ROW()-1)</f>
        <v>#NUM!</v>
      </c>
    </row>
    <row r="80" spans="1:11" x14ac:dyDescent="0.25">
      <c r="A80" s="33" t="str">
        <f t="shared" si="2"/>
        <v>00</v>
      </c>
      <c r="B80" s="34">
        <f>INDEX(CANCIONES!C$5:C$2500,SMALL('OPERACIONES DE FORMULAS'!$D$5:$D$300,ROW()-1)-4)</f>
        <v>0</v>
      </c>
      <c r="C80" s="35">
        <f>INDEX(CANCIONES!D$5:D$2500,SMALL('OPERACIONES DE FORMULAS'!$D$5:$D$300,ROW()-1)-4)</f>
        <v>0</v>
      </c>
      <c r="D80" s="34">
        <f>INDEX(CANCIONES!E$5:E$2500,SMALL('OPERACIONES DE FORMULAS'!$D$5:$D$300,ROW()-1)-4)</f>
        <v>0</v>
      </c>
      <c r="E80" s="35">
        <f>INDEX(CANCIONES!F$5:F$2500,SMALL('OPERACIONES DE FORMULAS'!$D$5:$D$300,ROW()-1)-4)</f>
        <v>0</v>
      </c>
      <c r="F80" s="34">
        <f>INDEX(CANCIONES!G$5:G$2500,SMALL('OPERACIONES DE FORMULAS'!$D$5:$D$300,ROW()-1)-4)</f>
        <v>0</v>
      </c>
      <c r="G80" s="35">
        <f>INDEX(CANCIONES!H$5:H$2500,SMALL('OPERACIONES DE FORMULAS'!$D$5:$D$300,ROW()-1)-4)</f>
        <v>0</v>
      </c>
      <c r="H80" s="34">
        <f t="shared" si="3"/>
        <v>79</v>
      </c>
      <c r="K80" s="32" t="e">
        <f>SMALL('OPERACIONES DE FORMULAS'!$D$5:$D$35,ROW()-1)</f>
        <v>#NUM!</v>
      </c>
    </row>
    <row r="81" spans="1:11" x14ac:dyDescent="0.25">
      <c r="A81" s="36" t="str">
        <f t="shared" si="2"/>
        <v>00</v>
      </c>
      <c r="B81" s="37">
        <f>INDEX(CANCIONES!C$5:C$2500,SMALL('OPERACIONES DE FORMULAS'!$D$5:$D$300,ROW()-1)-4)</f>
        <v>0</v>
      </c>
      <c r="C81" s="36">
        <f>INDEX(CANCIONES!D$5:D$2500,SMALL('OPERACIONES DE FORMULAS'!$D$5:$D$300,ROW()-1)-4)</f>
        <v>0</v>
      </c>
      <c r="D81" s="37">
        <f>INDEX(CANCIONES!E$5:E$2500,SMALL('OPERACIONES DE FORMULAS'!$D$5:$D$300,ROW()-1)-4)</f>
        <v>0</v>
      </c>
      <c r="E81" s="36">
        <f>INDEX(CANCIONES!F$5:F$2500,SMALL('OPERACIONES DE FORMULAS'!$D$5:$D$300,ROW()-1)-4)</f>
        <v>0</v>
      </c>
      <c r="F81" s="37">
        <f>INDEX(CANCIONES!G$5:G$2500,SMALL('OPERACIONES DE FORMULAS'!$D$5:$D$300,ROW()-1)-4)</f>
        <v>0</v>
      </c>
      <c r="G81" s="36">
        <f>INDEX(CANCIONES!H$5:H$2500,SMALL('OPERACIONES DE FORMULAS'!$D$5:$D$300,ROW()-1)-4)</f>
        <v>0</v>
      </c>
      <c r="H81" s="37">
        <f t="shared" si="3"/>
        <v>80</v>
      </c>
      <c r="K81" s="31" t="e">
        <f>SMALL('OPERACIONES DE FORMULAS'!$D$5:$D$35,ROW()-1)</f>
        <v>#NUM!</v>
      </c>
    </row>
    <row r="82" spans="1:11" x14ac:dyDescent="0.25">
      <c r="A82" s="33" t="str">
        <f t="shared" si="2"/>
        <v>00</v>
      </c>
      <c r="B82" s="34">
        <f>INDEX(CANCIONES!C$5:C$2500,SMALL('OPERACIONES DE FORMULAS'!$D$5:$D$300,ROW()-1)-4)</f>
        <v>0</v>
      </c>
      <c r="C82" s="35">
        <f>INDEX(CANCIONES!D$5:D$2500,SMALL('OPERACIONES DE FORMULAS'!$D$5:$D$300,ROW()-1)-4)</f>
        <v>0</v>
      </c>
      <c r="D82" s="34">
        <f>INDEX(CANCIONES!E$5:E$2500,SMALL('OPERACIONES DE FORMULAS'!$D$5:$D$300,ROW()-1)-4)</f>
        <v>0</v>
      </c>
      <c r="E82" s="35">
        <f>INDEX(CANCIONES!F$5:F$2500,SMALL('OPERACIONES DE FORMULAS'!$D$5:$D$300,ROW()-1)-4)</f>
        <v>0</v>
      </c>
      <c r="F82" s="34">
        <f>INDEX(CANCIONES!G$5:G$2500,SMALL('OPERACIONES DE FORMULAS'!$D$5:$D$300,ROW()-1)-4)</f>
        <v>0</v>
      </c>
      <c r="G82" s="35">
        <f>INDEX(CANCIONES!H$5:H$2500,SMALL('OPERACIONES DE FORMULAS'!$D$5:$D$300,ROW()-1)-4)</f>
        <v>0</v>
      </c>
      <c r="H82" s="34">
        <f t="shared" si="3"/>
        <v>81</v>
      </c>
      <c r="K82" s="32" t="e">
        <f>SMALL('OPERACIONES DE FORMULAS'!$D$5:$D$35,ROW()-1)</f>
        <v>#NUM!</v>
      </c>
    </row>
    <row r="83" spans="1:11" x14ac:dyDescent="0.25">
      <c r="A83" s="36" t="str">
        <f t="shared" si="2"/>
        <v>00</v>
      </c>
      <c r="B83" s="37">
        <f>INDEX(CANCIONES!C$5:C$2500,SMALL('OPERACIONES DE FORMULAS'!$D$5:$D$300,ROW()-1)-4)</f>
        <v>0</v>
      </c>
      <c r="C83" s="36">
        <f>INDEX(CANCIONES!D$5:D$2500,SMALL('OPERACIONES DE FORMULAS'!$D$5:$D$300,ROW()-1)-4)</f>
        <v>0</v>
      </c>
      <c r="D83" s="37">
        <f>INDEX(CANCIONES!E$5:E$2500,SMALL('OPERACIONES DE FORMULAS'!$D$5:$D$300,ROW()-1)-4)</f>
        <v>0</v>
      </c>
      <c r="E83" s="36">
        <f>INDEX(CANCIONES!F$5:F$2500,SMALL('OPERACIONES DE FORMULAS'!$D$5:$D$300,ROW()-1)-4)</f>
        <v>0</v>
      </c>
      <c r="F83" s="37">
        <f>INDEX(CANCIONES!G$5:G$2500,SMALL('OPERACIONES DE FORMULAS'!$D$5:$D$300,ROW()-1)-4)</f>
        <v>0</v>
      </c>
      <c r="G83" s="36">
        <f>INDEX(CANCIONES!H$5:H$2500,SMALL('OPERACIONES DE FORMULAS'!$D$5:$D$300,ROW()-1)-4)</f>
        <v>0</v>
      </c>
      <c r="H83" s="37">
        <f t="shared" si="3"/>
        <v>82</v>
      </c>
      <c r="K83" s="31" t="e">
        <f>SMALL('OPERACIONES DE FORMULAS'!$D$5:$D$35,ROW()-1)</f>
        <v>#NUM!</v>
      </c>
    </row>
    <row r="84" spans="1:11" x14ac:dyDescent="0.25">
      <c r="A84" s="33" t="str">
        <f t="shared" si="2"/>
        <v>00</v>
      </c>
      <c r="B84" s="34">
        <f>INDEX(CANCIONES!C$5:C$2500,SMALL('OPERACIONES DE FORMULAS'!$D$5:$D$300,ROW()-1)-4)</f>
        <v>0</v>
      </c>
      <c r="C84" s="35">
        <f>INDEX(CANCIONES!D$5:D$2500,SMALL('OPERACIONES DE FORMULAS'!$D$5:$D$300,ROW()-1)-4)</f>
        <v>0</v>
      </c>
      <c r="D84" s="34">
        <f>INDEX(CANCIONES!E$5:E$2500,SMALL('OPERACIONES DE FORMULAS'!$D$5:$D$300,ROW()-1)-4)</f>
        <v>0</v>
      </c>
      <c r="E84" s="35">
        <f>INDEX(CANCIONES!F$5:F$2500,SMALL('OPERACIONES DE FORMULAS'!$D$5:$D$300,ROW()-1)-4)</f>
        <v>0</v>
      </c>
      <c r="F84" s="34">
        <f>INDEX(CANCIONES!G$5:G$2500,SMALL('OPERACIONES DE FORMULAS'!$D$5:$D$300,ROW()-1)-4)</f>
        <v>0</v>
      </c>
      <c r="G84" s="35">
        <f>INDEX(CANCIONES!H$5:H$2500,SMALL('OPERACIONES DE FORMULAS'!$D$5:$D$300,ROW()-1)-4)</f>
        <v>0</v>
      </c>
      <c r="H84" s="34">
        <f t="shared" si="3"/>
        <v>83</v>
      </c>
      <c r="K84" s="32" t="e">
        <f>SMALL('OPERACIONES DE FORMULAS'!$D$5:$D$35,ROW()-1)</f>
        <v>#NUM!</v>
      </c>
    </row>
    <row r="85" spans="1:11" x14ac:dyDescent="0.25">
      <c r="A85" s="36" t="str">
        <f t="shared" si="2"/>
        <v>00</v>
      </c>
      <c r="B85" s="37">
        <f>INDEX(CANCIONES!C$5:C$2500,SMALL('OPERACIONES DE FORMULAS'!$D$5:$D$300,ROW()-1)-4)</f>
        <v>0</v>
      </c>
      <c r="C85" s="36">
        <f>INDEX(CANCIONES!D$5:D$2500,SMALL('OPERACIONES DE FORMULAS'!$D$5:$D$300,ROW()-1)-4)</f>
        <v>0</v>
      </c>
      <c r="D85" s="37">
        <f>INDEX(CANCIONES!E$5:E$2500,SMALL('OPERACIONES DE FORMULAS'!$D$5:$D$300,ROW()-1)-4)</f>
        <v>0</v>
      </c>
      <c r="E85" s="36">
        <f>INDEX(CANCIONES!F$5:F$2500,SMALL('OPERACIONES DE FORMULAS'!$D$5:$D$300,ROW()-1)-4)</f>
        <v>0</v>
      </c>
      <c r="F85" s="37">
        <f>INDEX(CANCIONES!G$5:G$2500,SMALL('OPERACIONES DE FORMULAS'!$D$5:$D$300,ROW()-1)-4)</f>
        <v>0</v>
      </c>
      <c r="G85" s="36">
        <f>INDEX(CANCIONES!H$5:H$2500,SMALL('OPERACIONES DE FORMULAS'!$D$5:$D$300,ROW()-1)-4)</f>
        <v>0</v>
      </c>
      <c r="H85" s="37">
        <f t="shared" si="3"/>
        <v>84</v>
      </c>
      <c r="K85" s="31" t="e">
        <f>SMALL('OPERACIONES DE FORMULAS'!$D$5:$D$35,ROW()-1)</f>
        <v>#NUM!</v>
      </c>
    </row>
    <row r="86" spans="1:11" x14ac:dyDescent="0.25">
      <c r="A86" s="33" t="str">
        <f t="shared" si="2"/>
        <v>00</v>
      </c>
      <c r="B86" s="34">
        <f>INDEX(CANCIONES!C$5:C$2500,SMALL('OPERACIONES DE FORMULAS'!$D$5:$D$300,ROW()-1)-4)</f>
        <v>0</v>
      </c>
      <c r="C86" s="35">
        <f>INDEX(CANCIONES!D$5:D$2500,SMALL('OPERACIONES DE FORMULAS'!$D$5:$D$300,ROW()-1)-4)</f>
        <v>0</v>
      </c>
      <c r="D86" s="34">
        <f>INDEX(CANCIONES!E$5:E$2500,SMALL('OPERACIONES DE FORMULAS'!$D$5:$D$300,ROW()-1)-4)</f>
        <v>0</v>
      </c>
      <c r="E86" s="35">
        <f>INDEX(CANCIONES!F$5:F$2500,SMALL('OPERACIONES DE FORMULAS'!$D$5:$D$300,ROW()-1)-4)</f>
        <v>0</v>
      </c>
      <c r="F86" s="34">
        <f>INDEX(CANCIONES!G$5:G$2500,SMALL('OPERACIONES DE FORMULAS'!$D$5:$D$300,ROW()-1)-4)</f>
        <v>0</v>
      </c>
      <c r="G86" s="35">
        <f>INDEX(CANCIONES!H$5:H$2500,SMALL('OPERACIONES DE FORMULAS'!$D$5:$D$300,ROW()-1)-4)</f>
        <v>0</v>
      </c>
      <c r="H86" s="34">
        <f t="shared" si="3"/>
        <v>85</v>
      </c>
      <c r="K86" s="32" t="e">
        <f>SMALL('OPERACIONES DE FORMULAS'!$D$5:$D$35,ROW()-1)</f>
        <v>#NUM!</v>
      </c>
    </row>
    <row r="87" spans="1:11" x14ac:dyDescent="0.25">
      <c r="A87" s="36" t="str">
        <f t="shared" si="2"/>
        <v>00</v>
      </c>
      <c r="B87" s="37">
        <f>INDEX(CANCIONES!C$5:C$2500,SMALL('OPERACIONES DE FORMULAS'!$D$5:$D$300,ROW()-1)-4)</f>
        <v>0</v>
      </c>
      <c r="C87" s="36">
        <f>INDEX(CANCIONES!D$5:D$2500,SMALL('OPERACIONES DE FORMULAS'!$D$5:$D$300,ROW()-1)-4)</f>
        <v>0</v>
      </c>
      <c r="D87" s="37">
        <f>INDEX(CANCIONES!E$5:E$2500,SMALL('OPERACIONES DE FORMULAS'!$D$5:$D$300,ROW()-1)-4)</f>
        <v>0</v>
      </c>
      <c r="E87" s="36">
        <f>INDEX(CANCIONES!F$5:F$2500,SMALL('OPERACIONES DE FORMULAS'!$D$5:$D$300,ROW()-1)-4)</f>
        <v>0</v>
      </c>
      <c r="F87" s="37">
        <f>INDEX(CANCIONES!G$5:G$2500,SMALL('OPERACIONES DE FORMULAS'!$D$5:$D$300,ROW()-1)-4)</f>
        <v>0</v>
      </c>
      <c r="G87" s="36">
        <f>INDEX(CANCIONES!H$5:H$2500,SMALL('OPERACIONES DE FORMULAS'!$D$5:$D$300,ROW()-1)-4)</f>
        <v>0</v>
      </c>
      <c r="H87" s="37">
        <f t="shared" si="3"/>
        <v>86</v>
      </c>
      <c r="K87" s="31" t="e">
        <f>SMALL('OPERACIONES DE FORMULAS'!$D$5:$D$35,ROW()-1)</f>
        <v>#NUM!</v>
      </c>
    </row>
    <row r="88" spans="1:11" x14ac:dyDescent="0.25">
      <c r="A88" s="33" t="str">
        <f t="shared" si="2"/>
        <v>00</v>
      </c>
      <c r="B88" s="34">
        <f>INDEX(CANCIONES!C$5:C$2500,SMALL('OPERACIONES DE FORMULAS'!$D$5:$D$300,ROW()-1)-4)</f>
        <v>0</v>
      </c>
      <c r="C88" s="35">
        <f>INDEX(CANCIONES!D$5:D$2500,SMALL('OPERACIONES DE FORMULAS'!$D$5:$D$300,ROW()-1)-4)</f>
        <v>0</v>
      </c>
      <c r="D88" s="34">
        <f>INDEX(CANCIONES!E$5:E$2500,SMALL('OPERACIONES DE FORMULAS'!$D$5:$D$300,ROW()-1)-4)</f>
        <v>0</v>
      </c>
      <c r="E88" s="35">
        <f>INDEX(CANCIONES!F$5:F$2500,SMALL('OPERACIONES DE FORMULAS'!$D$5:$D$300,ROW()-1)-4)</f>
        <v>0</v>
      </c>
      <c r="F88" s="34">
        <f>INDEX(CANCIONES!G$5:G$2500,SMALL('OPERACIONES DE FORMULAS'!$D$5:$D$300,ROW()-1)-4)</f>
        <v>0</v>
      </c>
      <c r="G88" s="35">
        <f>INDEX(CANCIONES!H$5:H$2500,SMALL('OPERACIONES DE FORMULAS'!$D$5:$D$300,ROW()-1)-4)</f>
        <v>0</v>
      </c>
      <c r="H88" s="34">
        <f t="shared" si="3"/>
        <v>87</v>
      </c>
      <c r="K88" s="32" t="e">
        <f>SMALL('OPERACIONES DE FORMULAS'!$D$5:$D$35,ROW()-1)</f>
        <v>#NUM!</v>
      </c>
    </row>
    <row r="89" spans="1:11" x14ac:dyDescent="0.25">
      <c r="A89" s="36" t="str">
        <f t="shared" si="2"/>
        <v>00</v>
      </c>
      <c r="B89" s="37">
        <f>INDEX(CANCIONES!C$5:C$2500,SMALL('OPERACIONES DE FORMULAS'!$D$5:$D$300,ROW()-1)-4)</f>
        <v>0</v>
      </c>
      <c r="C89" s="36">
        <f>INDEX(CANCIONES!D$5:D$2500,SMALL('OPERACIONES DE FORMULAS'!$D$5:$D$300,ROW()-1)-4)</f>
        <v>0</v>
      </c>
      <c r="D89" s="37">
        <f>INDEX(CANCIONES!E$5:E$2500,SMALL('OPERACIONES DE FORMULAS'!$D$5:$D$300,ROW()-1)-4)</f>
        <v>0</v>
      </c>
      <c r="E89" s="36">
        <f>INDEX(CANCIONES!F$5:F$2500,SMALL('OPERACIONES DE FORMULAS'!$D$5:$D$300,ROW()-1)-4)</f>
        <v>0</v>
      </c>
      <c r="F89" s="37">
        <f>INDEX(CANCIONES!G$5:G$2500,SMALL('OPERACIONES DE FORMULAS'!$D$5:$D$300,ROW()-1)-4)</f>
        <v>0</v>
      </c>
      <c r="G89" s="36">
        <f>INDEX(CANCIONES!H$5:H$2500,SMALL('OPERACIONES DE FORMULAS'!$D$5:$D$300,ROW()-1)-4)</f>
        <v>0</v>
      </c>
      <c r="H89" s="37">
        <f t="shared" si="3"/>
        <v>88</v>
      </c>
      <c r="K89" s="31" t="e">
        <f>SMALL('OPERACIONES DE FORMULAS'!$D$5:$D$35,ROW()-1)</f>
        <v>#NUM!</v>
      </c>
    </row>
    <row r="90" spans="1:11" x14ac:dyDescent="0.25">
      <c r="A90" s="33" t="str">
        <f t="shared" si="2"/>
        <v>00</v>
      </c>
      <c r="B90" s="34">
        <f>INDEX(CANCIONES!C$5:C$2500,SMALL('OPERACIONES DE FORMULAS'!$D$5:$D$300,ROW()-1)-4)</f>
        <v>0</v>
      </c>
      <c r="C90" s="35">
        <f>INDEX(CANCIONES!D$5:D$2500,SMALL('OPERACIONES DE FORMULAS'!$D$5:$D$300,ROW()-1)-4)</f>
        <v>0</v>
      </c>
      <c r="D90" s="34">
        <f>INDEX(CANCIONES!E$5:E$2500,SMALL('OPERACIONES DE FORMULAS'!$D$5:$D$300,ROW()-1)-4)</f>
        <v>0</v>
      </c>
      <c r="E90" s="35">
        <f>INDEX(CANCIONES!F$5:F$2500,SMALL('OPERACIONES DE FORMULAS'!$D$5:$D$300,ROW()-1)-4)</f>
        <v>0</v>
      </c>
      <c r="F90" s="34">
        <f>INDEX(CANCIONES!G$5:G$2500,SMALL('OPERACIONES DE FORMULAS'!$D$5:$D$300,ROW()-1)-4)</f>
        <v>0</v>
      </c>
      <c r="G90" s="35">
        <f>INDEX(CANCIONES!H$5:H$2500,SMALL('OPERACIONES DE FORMULAS'!$D$5:$D$300,ROW()-1)-4)</f>
        <v>0</v>
      </c>
      <c r="H90" s="34">
        <f t="shared" si="3"/>
        <v>89</v>
      </c>
      <c r="K90" s="32" t="e">
        <f>SMALL('OPERACIONES DE FORMULAS'!$D$5:$D$35,ROW()-1)</f>
        <v>#NUM!</v>
      </c>
    </row>
    <row r="91" spans="1:11" x14ac:dyDescent="0.25">
      <c r="A91" s="36" t="str">
        <f t="shared" si="2"/>
        <v>00</v>
      </c>
      <c r="B91" s="37">
        <f>INDEX(CANCIONES!C$5:C$2500,SMALL('OPERACIONES DE FORMULAS'!$D$5:$D$300,ROW()-1)-4)</f>
        <v>0</v>
      </c>
      <c r="C91" s="36">
        <f>INDEX(CANCIONES!D$5:D$2500,SMALL('OPERACIONES DE FORMULAS'!$D$5:$D$300,ROW()-1)-4)</f>
        <v>0</v>
      </c>
      <c r="D91" s="37">
        <f>INDEX(CANCIONES!E$5:E$2500,SMALL('OPERACIONES DE FORMULAS'!$D$5:$D$300,ROW()-1)-4)</f>
        <v>0</v>
      </c>
      <c r="E91" s="36">
        <f>INDEX(CANCIONES!F$5:F$2500,SMALL('OPERACIONES DE FORMULAS'!$D$5:$D$300,ROW()-1)-4)</f>
        <v>0</v>
      </c>
      <c r="F91" s="37">
        <f>INDEX(CANCIONES!G$5:G$2500,SMALL('OPERACIONES DE FORMULAS'!$D$5:$D$300,ROW()-1)-4)</f>
        <v>0</v>
      </c>
      <c r="G91" s="36">
        <f>INDEX(CANCIONES!H$5:H$2500,SMALL('OPERACIONES DE FORMULAS'!$D$5:$D$300,ROW()-1)-4)</f>
        <v>0</v>
      </c>
      <c r="H91" s="37">
        <f t="shared" si="3"/>
        <v>90</v>
      </c>
      <c r="K91" s="31" t="e">
        <f>SMALL('OPERACIONES DE FORMULAS'!$D$5:$D$35,ROW()-1)</f>
        <v>#NUM!</v>
      </c>
    </row>
    <row r="92" spans="1:11" x14ac:dyDescent="0.25">
      <c r="A92" s="33" t="str">
        <f t="shared" si="2"/>
        <v>00</v>
      </c>
      <c r="B92" s="34">
        <f>INDEX(CANCIONES!C$5:C$2500,SMALL('OPERACIONES DE FORMULAS'!$D$5:$D$300,ROW()-1)-4)</f>
        <v>0</v>
      </c>
      <c r="C92" s="35">
        <f>INDEX(CANCIONES!D$5:D$2500,SMALL('OPERACIONES DE FORMULAS'!$D$5:$D$300,ROW()-1)-4)</f>
        <v>0</v>
      </c>
      <c r="D92" s="34">
        <f>INDEX(CANCIONES!E$5:E$2500,SMALL('OPERACIONES DE FORMULAS'!$D$5:$D$300,ROW()-1)-4)</f>
        <v>0</v>
      </c>
      <c r="E92" s="35">
        <f>INDEX(CANCIONES!F$5:F$2500,SMALL('OPERACIONES DE FORMULAS'!$D$5:$D$300,ROW()-1)-4)</f>
        <v>0</v>
      </c>
      <c r="F92" s="34">
        <f>INDEX(CANCIONES!G$5:G$2500,SMALL('OPERACIONES DE FORMULAS'!$D$5:$D$300,ROW()-1)-4)</f>
        <v>0</v>
      </c>
      <c r="G92" s="35">
        <f>INDEX(CANCIONES!H$5:H$2500,SMALL('OPERACIONES DE FORMULAS'!$D$5:$D$300,ROW()-1)-4)</f>
        <v>0</v>
      </c>
      <c r="H92" s="34">
        <f t="shared" si="3"/>
        <v>91</v>
      </c>
      <c r="K92" s="32" t="e">
        <f>SMALL('OPERACIONES DE FORMULAS'!$D$5:$D$35,ROW()-1)</f>
        <v>#NUM!</v>
      </c>
    </row>
    <row r="93" spans="1:11" x14ac:dyDescent="0.25">
      <c r="A93" s="36" t="str">
        <f t="shared" si="2"/>
        <v>00</v>
      </c>
      <c r="B93" s="37">
        <f>INDEX(CANCIONES!C$5:C$2500,SMALL('OPERACIONES DE FORMULAS'!$D$5:$D$300,ROW()-1)-4)</f>
        <v>0</v>
      </c>
      <c r="C93" s="36">
        <f>INDEX(CANCIONES!D$5:D$2500,SMALL('OPERACIONES DE FORMULAS'!$D$5:$D$300,ROW()-1)-4)</f>
        <v>0</v>
      </c>
      <c r="D93" s="37">
        <f>INDEX(CANCIONES!E$5:E$2500,SMALL('OPERACIONES DE FORMULAS'!$D$5:$D$300,ROW()-1)-4)</f>
        <v>0</v>
      </c>
      <c r="E93" s="36">
        <f>INDEX(CANCIONES!F$5:F$2500,SMALL('OPERACIONES DE FORMULAS'!$D$5:$D$300,ROW()-1)-4)</f>
        <v>0</v>
      </c>
      <c r="F93" s="37">
        <f>INDEX(CANCIONES!G$5:G$2500,SMALL('OPERACIONES DE FORMULAS'!$D$5:$D$300,ROW()-1)-4)</f>
        <v>0</v>
      </c>
      <c r="G93" s="36">
        <f>INDEX(CANCIONES!H$5:H$2500,SMALL('OPERACIONES DE FORMULAS'!$D$5:$D$300,ROW()-1)-4)</f>
        <v>0</v>
      </c>
      <c r="H93" s="37">
        <f t="shared" si="3"/>
        <v>92</v>
      </c>
      <c r="K93" s="31" t="e">
        <f>SMALL('OPERACIONES DE FORMULAS'!$D$5:$D$35,ROW()-1)</f>
        <v>#NUM!</v>
      </c>
    </row>
    <row r="94" spans="1:11" x14ac:dyDescent="0.25">
      <c r="A94" s="33" t="str">
        <f t="shared" si="2"/>
        <v>00</v>
      </c>
      <c r="B94" s="34">
        <f>INDEX(CANCIONES!C$5:C$2500,SMALL('OPERACIONES DE FORMULAS'!$D$5:$D$300,ROW()-1)-4)</f>
        <v>0</v>
      </c>
      <c r="C94" s="35">
        <f>INDEX(CANCIONES!D$5:D$2500,SMALL('OPERACIONES DE FORMULAS'!$D$5:$D$300,ROW()-1)-4)</f>
        <v>0</v>
      </c>
      <c r="D94" s="34">
        <f>INDEX(CANCIONES!E$5:E$2500,SMALL('OPERACIONES DE FORMULAS'!$D$5:$D$300,ROW()-1)-4)</f>
        <v>0</v>
      </c>
      <c r="E94" s="35">
        <f>INDEX(CANCIONES!F$5:F$2500,SMALL('OPERACIONES DE FORMULAS'!$D$5:$D$300,ROW()-1)-4)</f>
        <v>0</v>
      </c>
      <c r="F94" s="34">
        <f>INDEX(CANCIONES!G$5:G$2500,SMALL('OPERACIONES DE FORMULAS'!$D$5:$D$300,ROW()-1)-4)</f>
        <v>0</v>
      </c>
      <c r="G94" s="35">
        <f>INDEX(CANCIONES!H$5:H$2500,SMALL('OPERACIONES DE FORMULAS'!$D$5:$D$300,ROW()-1)-4)</f>
        <v>0</v>
      </c>
      <c r="H94" s="34">
        <f t="shared" si="3"/>
        <v>93</v>
      </c>
      <c r="K94" s="32" t="e">
        <f>SMALL('OPERACIONES DE FORMULAS'!$D$5:$D$35,ROW()-1)</f>
        <v>#NUM!</v>
      </c>
    </row>
    <row r="95" spans="1:11" x14ac:dyDescent="0.25">
      <c r="A95" s="36" t="str">
        <f t="shared" si="2"/>
        <v>00</v>
      </c>
      <c r="B95" s="37">
        <f>INDEX(CANCIONES!C$5:C$2500,SMALL('OPERACIONES DE FORMULAS'!$D$5:$D$300,ROW()-1)-4)</f>
        <v>0</v>
      </c>
      <c r="C95" s="36">
        <f>INDEX(CANCIONES!D$5:D$2500,SMALL('OPERACIONES DE FORMULAS'!$D$5:$D$300,ROW()-1)-4)</f>
        <v>0</v>
      </c>
      <c r="D95" s="37">
        <f>INDEX(CANCIONES!E$5:E$2500,SMALL('OPERACIONES DE FORMULAS'!$D$5:$D$300,ROW()-1)-4)</f>
        <v>0</v>
      </c>
      <c r="E95" s="36">
        <f>INDEX(CANCIONES!F$5:F$2500,SMALL('OPERACIONES DE FORMULAS'!$D$5:$D$300,ROW()-1)-4)</f>
        <v>0</v>
      </c>
      <c r="F95" s="37">
        <f>INDEX(CANCIONES!G$5:G$2500,SMALL('OPERACIONES DE FORMULAS'!$D$5:$D$300,ROW()-1)-4)</f>
        <v>0</v>
      </c>
      <c r="G95" s="36">
        <f>INDEX(CANCIONES!H$5:H$2500,SMALL('OPERACIONES DE FORMULAS'!$D$5:$D$300,ROW()-1)-4)</f>
        <v>0</v>
      </c>
      <c r="H95" s="37">
        <f t="shared" si="3"/>
        <v>94</v>
      </c>
      <c r="K95" s="31" t="e">
        <f>SMALL('OPERACIONES DE FORMULAS'!$D$5:$D$35,ROW()-1)</f>
        <v>#NUM!</v>
      </c>
    </row>
    <row r="96" spans="1:11" x14ac:dyDescent="0.25">
      <c r="A96" s="33" t="str">
        <f t="shared" si="2"/>
        <v>00</v>
      </c>
      <c r="B96" s="34">
        <f>INDEX(CANCIONES!C$5:C$2500,SMALL('OPERACIONES DE FORMULAS'!$D$5:$D$300,ROW()-1)-4)</f>
        <v>0</v>
      </c>
      <c r="C96" s="35">
        <f>INDEX(CANCIONES!D$5:D$2500,SMALL('OPERACIONES DE FORMULAS'!$D$5:$D$300,ROW()-1)-4)</f>
        <v>0</v>
      </c>
      <c r="D96" s="34">
        <f>INDEX(CANCIONES!E$5:E$2500,SMALL('OPERACIONES DE FORMULAS'!$D$5:$D$300,ROW()-1)-4)</f>
        <v>0</v>
      </c>
      <c r="E96" s="35">
        <f>INDEX(CANCIONES!F$5:F$2500,SMALL('OPERACIONES DE FORMULAS'!$D$5:$D$300,ROW()-1)-4)</f>
        <v>0</v>
      </c>
      <c r="F96" s="34">
        <f>INDEX(CANCIONES!G$5:G$2500,SMALL('OPERACIONES DE FORMULAS'!$D$5:$D$300,ROW()-1)-4)</f>
        <v>0</v>
      </c>
      <c r="G96" s="35">
        <f>INDEX(CANCIONES!H$5:H$2500,SMALL('OPERACIONES DE FORMULAS'!$D$5:$D$300,ROW()-1)-4)</f>
        <v>0</v>
      </c>
      <c r="H96" s="34">
        <f t="shared" si="3"/>
        <v>95</v>
      </c>
      <c r="K96" s="32" t="e">
        <f>SMALL('OPERACIONES DE FORMULAS'!$D$5:$D$35,ROW()-1)</f>
        <v>#NUM!</v>
      </c>
    </row>
    <row r="97" spans="1:11" x14ac:dyDescent="0.25">
      <c r="A97" s="36" t="str">
        <f t="shared" si="2"/>
        <v>00</v>
      </c>
      <c r="B97" s="37">
        <f>INDEX(CANCIONES!C$5:C$2500,SMALL('OPERACIONES DE FORMULAS'!$D$5:$D$300,ROW()-1)-4)</f>
        <v>0</v>
      </c>
      <c r="C97" s="36">
        <f>INDEX(CANCIONES!D$5:D$2500,SMALL('OPERACIONES DE FORMULAS'!$D$5:$D$300,ROW()-1)-4)</f>
        <v>0</v>
      </c>
      <c r="D97" s="37">
        <f>INDEX(CANCIONES!E$5:E$2500,SMALL('OPERACIONES DE FORMULAS'!$D$5:$D$300,ROW()-1)-4)</f>
        <v>0</v>
      </c>
      <c r="E97" s="36">
        <f>INDEX(CANCIONES!F$5:F$2500,SMALL('OPERACIONES DE FORMULAS'!$D$5:$D$300,ROW()-1)-4)</f>
        <v>0</v>
      </c>
      <c r="F97" s="37">
        <f>INDEX(CANCIONES!G$5:G$2500,SMALL('OPERACIONES DE FORMULAS'!$D$5:$D$300,ROW()-1)-4)</f>
        <v>0</v>
      </c>
      <c r="G97" s="36">
        <f>INDEX(CANCIONES!H$5:H$2500,SMALL('OPERACIONES DE FORMULAS'!$D$5:$D$300,ROW()-1)-4)</f>
        <v>0</v>
      </c>
      <c r="H97" s="37">
        <f t="shared" si="3"/>
        <v>96</v>
      </c>
      <c r="K97" s="31" t="e">
        <f>SMALL('OPERACIONES DE FORMULAS'!$D$5:$D$35,ROW()-1)</f>
        <v>#NUM!</v>
      </c>
    </row>
    <row r="98" spans="1:11" x14ac:dyDescent="0.25">
      <c r="A98" s="33" t="str">
        <f t="shared" si="2"/>
        <v>00</v>
      </c>
      <c r="B98" s="34">
        <f>INDEX(CANCIONES!C$5:C$2500,SMALL('OPERACIONES DE FORMULAS'!$D$5:$D$300,ROW()-1)-4)</f>
        <v>0</v>
      </c>
      <c r="C98" s="35">
        <f>INDEX(CANCIONES!D$5:D$2500,SMALL('OPERACIONES DE FORMULAS'!$D$5:$D$300,ROW()-1)-4)</f>
        <v>0</v>
      </c>
      <c r="D98" s="34">
        <f>INDEX(CANCIONES!E$5:E$2500,SMALL('OPERACIONES DE FORMULAS'!$D$5:$D$300,ROW()-1)-4)</f>
        <v>0</v>
      </c>
      <c r="E98" s="35">
        <f>INDEX(CANCIONES!F$5:F$2500,SMALL('OPERACIONES DE FORMULAS'!$D$5:$D$300,ROW()-1)-4)</f>
        <v>0</v>
      </c>
      <c r="F98" s="34">
        <f>INDEX(CANCIONES!G$5:G$2500,SMALL('OPERACIONES DE FORMULAS'!$D$5:$D$300,ROW()-1)-4)</f>
        <v>0</v>
      </c>
      <c r="G98" s="35">
        <f>INDEX(CANCIONES!H$5:H$2500,SMALL('OPERACIONES DE FORMULAS'!$D$5:$D$300,ROW()-1)-4)</f>
        <v>0</v>
      </c>
      <c r="H98" s="34">
        <f t="shared" si="3"/>
        <v>97</v>
      </c>
      <c r="K98" s="32" t="e">
        <f>SMALL('OPERACIONES DE FORMULAS'!$D$5:$D$35,ROW()-1)</f>
        <v>#NUM!</v>
      </c>
    </row>
    <row r="99" spans="1:11" x14ac:dyDescent="0.25">
      <c r="A99" s="36" t="str">
        <f t="shared" si="2"/>
        <v>00</v>
      </c>
      <c r="B99" s="37">
        <f>INDEX(CANCIONES!C$5:C$2500,SMALL('OPERACIONES DE FORMULAS'!$D$5:$D$300,ROW()-1)-4)</f>
        <v>0</v>
      </c>
      <c r="C99" s="36">
        <f>INDEX(CANCIONES!D$5:D$2500,SMALL('OPERACIONES DE FORMULAS'!$D$5:$D$300,ROW()-1)-4)</f>
        <v>0</v>
      </c>
      <c r="D99" s="37">
        <f>INDEX(CANCIONES!E$5:E$2500,SMALL('OPERACIONES DE FORMULAS'!$D$5:$D$300,ROW()-1)-4)</f>
        <v>0</v>
      </c>
      <c r="E99" s="36">
        <f>INDEX(CANCIONES!F$5:F$2500,SMALL('OPERACIONES DE FORMULAS'!$D$5:$D$300,ROW()-1)-4)</f>
        <v>0</v>
      </c>
      <c r="F99" s="37">
        <f>INDEX(CANCIONES!G$5:G$2500,SMALL('OPERACIONES DE FORMULAS'!$D$5:$D$300,ROW()-1)-4)</f>
        <v>0</v>
      </c>
      <c r="G99" s="36">
        <f>INDEX(CANCIONES!H$5:H$2500,SMALL('OPERACIONES DE FORMULAS'!$D$5:$D$300,ROW()-1)-4)</f>
        <v>0</v>
      </c>
      <c r="H99" s="37">
        <f t="shared" si="3"/>
        <v>98</v>
      </c>
      <c r="K99" s="31" t="e">
        <f>SMALL('OPERACIONES DE FORMULAS'!$D$5:$D$35,ROW()-1)</f>
        <v>#NUM!</v>
      </c>
    </row>
    <row r="100" spans="1:11" x14ac:dyDescent="0.25">
      <c r="A100" s="33" t="str">
        <f t="shared" si="2"/>
        <v>00</v>
      </c>
      <c r="B100" s="34">
        <f>INDEX(CANCIONES!C$5:C$2500,SMALL('OPERACIONES DE FORMULAS'!$D$5:$D$300,ROW()-1)-4)</f>
        <v>0</v>
      </c>
      <c r="C100" s="35">
        <f>INDEX(CANCIONES!D$5:D$2500,SMALL('OPERACIONES DE FORMULAS'!$D$5:$D$300,ROW()-1)-4)</f>
        <v>0</v>
      </c>
      <c r="D100" s="34">
        <f>INDEX(CANCIONES!E$5:E$2500,SMALL('OPERACIONES DE FORMULAS'!$D$5:$D$300,ROW()-1)-4)</f>
        <v>0</v>
      </c>
      <c r="E100" s="35">
        <f>INDEX(CANCIONES!F$5:F$2500,SMALL('OPERACIONES DE FORMULAS'!$D$5:$D$300,ROW()-1)-4)</f>
        <v>0</v>
      </c>
      <c r="F100" s="34">
        <f>INDEX(CANCIONES!G$5:G$2500,SMALL('OPERACIONES DE FORMULAS'!$D$5:$D$300,ROW()-1)-4)</f>
        <v>0</v>
      </c>
      <c r="G100" s="35">
        <f>INDEX(CANCIONES!H$5:H$2500,SMALL('OPERACIONES DE FORMULAS'!$D$5:$D$300,ROW()-1)-4)</f>
        <v>0</v>
      </c>
      <c r="H100" s="34">
        <f t="shared" si="3"/>
        <v>99</v>
      </c>
      <c r="K100" s="32" t="e">
        <f>SMALL('OPERACIONES DE FORMULAS'!$D$5:$D$35,ROW()-1)</f>
        <v>#NUM!</v>
      </c>
    </row>
    <row r="101" spans="1:11" x14ac:dyDescent="0.25">
      <c r="A101" s="36" t="str">
        <f t="shared" si="2"/>
        <v>00</v>
      </c>
      <c r="B101" s="37">
        <f>INDEX(CANCIONES!C$5:C$2500,SMALL('OPERACIONES DE FORMULAS'!$D$5:$D$300,ROW()-1)-4)</f>
        <v>0</v>
      </c>
      <c r="C101" s="36">
        <f>INDEX(CANCIONES!D$5:D$2500,SMALL('OPERACIONES DE FORMULAS'!$D$5:$D$300,ROW()-1)-4)</f>
        <v>0</v>
      </c>
      <c r="D101" s="37">
        <f>INDEX(CANCIONES!E$5:E$2500,SMALL('OPERACIONES DE FORMULAS'!$D$5:$D$300,ROW()-1)-4)</f>
        <v>0</v>
      </c>
      <c r="E101" s="36">
        <f>INDEX(CANCIONES!F$5:F$2500,SMALL('OPERACIONES DE FORMULAS'!$D$5:$D$300,ROW()-1)-4)</f>
        <v>0</v>
      </c>
      <c r="F101" s="37">
        <f>INDEX(CANCIONES!G$5:G$2500,SMALL('OPERACIONES DE FORMULAS'!$D$5:$D$300,ROW()-1)-4)</f>
        <v>0</v>
      </c>
      <c r="G101" s="36">
        <f>INDEX(CANCIONES!H$5:H$2500,SMALL('OPERACIONES DE FORMULAS'!$D$5:$D$300,ROW()-1)-4)</f>
        <v>0</v>
      </c>
      <c r="H101" s="37">
        <f t="shared" si="3"/>
        <v>100</v>
      </c>
      <c r="K101" s="31" t="e">
        <f>SMALL('OPERACIONES DE FORMULAS'!$D$5:$D$35,ROW()-1)</f>
        <v>#NUM!</v>
      </c>
    </row>
    <row r="102" spans="1:11" x14ac:dyDescent="0.25">
      <c r="A102" s="33" t="str">
        <f t="shared" si="2"/>
        <v>00</v>
      </c>
      <c r="B102" s="34">
        <f>INDEX(CANCIONES!C$5:C$2500,SMALL('OPERACIONES DE FORMULAS'!$D$5:$D$300,ROW()-1)-4)</f>
        <v>0</v>
      </c>
      <c r="C102" s="35">
        <f>INDEX(CANCIONES!D$5:D$2500,SMALL('OPERACIONES DE FORMULAS'!$D$5:$D$300,ROW()-1)-4)</f>
        <v>0</v>
      </c>
      <c r="D102" s="34">
        <f>INDEX(CANCIONES!E$5:E$2500,SMALL('OPERACIONES DE FORMULAS'!$D$5:$D$300,ROW()-1)-4)</f>
        <v>0</v>
      </c>
      <c r="E102" s="35">
        <f>INDEX(CANCIONES!F$5:F$2500,SMALL('OPERACIONES DE FORMULAS'!$D$5:$D$300,ROW()-1)-4)</f>
        <v>0</v>
      </c>
      <c r="F102" s="34">
        <f>INDEX(CANCIONES!G$5:G$2500,SMALL('OPERACIONES DE FORMULAS'!$D$5:$D$300,ROW()-1)-4)</f>
        <v>0</v>
      </c>
      <c r="G102" s="35">
        <f>INDEX(CANCIONES!H$5:H$2500,SMALL('OPERACIONES DE FORMULAS'!$D$5:$D$300,ROW()-1)-4)</f>
        <v>0</v>
      </c>
      <c r="H102" s="34">
        <f t="shared" si="3"/>
        <v>101</v>
      </c>
      <c r="K102" s="32" t="e">
        <f>SMALL('OPERACIONES DE FORMULAS'!$D$5:$D$35,ROW()-1)</f>
        <v>#NUM!</v>
      </c>
    </row>
    <row r="103" spans="1:11" x14ac:dyDescent="0.25">
      <c r="A103" s="36" t="str">
        <f t="shared" si="2"/>
        <v>00</v>
      </c>
      <c r="B103" s="37">
        <f>INDEX(CANCIONES!C$5:C$2500,SMALL('OPERACIONES DE FORMULAS'!$D$5:$D$300,ROW()-1)-4)</f>
        <v>0</v>
      </c>
      <c r="C103" s="36">
        <f>INDEX(CANCIONES!D$5:D$2500,SMALL('OPERACIONES DE FORMULAS'!$D$5:$D$300,ROW()-1)-4)</f>
        <v>0</v>
      </c>
      <c r="D103" s="37">
        <f>INDEX(CANCIONES!E$5:E$2500,SMALL('OPERACIONES DE FORMULAS'!$D$5:$D$300,ROW()-1)-4)</f>
        <v>0</v>
      </c>
      <c r="E103" s="36">
        <f>INDEX(CANCIONES!F$5:F$2500,SMALL('OPERACIONES DE FORMULAS'!$D$5:$D$300,ROW()-1)-4)</f>
        <v>0</v>
      </c>
      <c r="F103" s="37">
        <f>INDEX(CANCIONES!G$5:G$2500,SMALL('OPERACIONES DE FORMULAS'!$D$5:$D$300,ROW()-1)-4)</f>
        <v>0</v>
      </c>
      <c r="G103" s="36">
        <f>INDEX(CANCIONES!H$5:H$2500,SMALL('OPERACIONES DE FORMULAS'!$D$5:$D$300,ROW()-1)-4)</f>
        <v>0</v>
      </c>
      <c r="H103" s="37">
        <f t="shared" si="3"/>
        <v>102</v>
      </c>
      <c r="K103" s="31" t="e">
        <f>SMALL('OPERACIONES DE FORMULAS'!$D$5:$D$35,ROW()-1)</f>
        <v>#NUM!</v>
      </c>
    </row>
    <row r="104" spans="1:11" x14ac:dyDescent="0.25">
      <c r="A104" s="33" t="str">
        <f t="shared" si="2"/>
        <v>00</v>
      </c>
      <c r="B104" s="34">
        <f>INDEX(CANCIONES!C$5:C$2500,SMALL('OPERACIONES DE FORMULAS'!$D$5:$D$300,ROW()-1)-4)</f>
        <v>0</v>
      </c>
      <c r="C104" s="35">
        <f>INDEX(CANCIONES!D$5:D$2500,SMALL('OPERACIONES DE FORMULAS'!$D$5:$D$300,ROW()-1)-4)</f>
        <v>0</v>
      </c>
      <c r="D104" s="34">
        <f>INDEX(CANCIONES!E$5:E$2500,SMALL('OPERACIONES DE FORMULAS'!$D$5:$D$300,ROW()-1)-4)</f>
        <v>0</v>
      </c>
      <c r="E104" s="35">
        <f>INDEX(CANCIONES!F$5:F$2500,SMALL('OPERACIONES DE FORMULAS'!$D$5:$D$300,ROW()-1)-4)</f>
        <v>0</v>
      </c>
      <c r="F104" s="34">
        <f>INDEX(CANCIONES!G$5:G$2500,SMALL('OPERACIONES DE FORMULAS'!$D$5:$D$300,ROW()-1)-4)</f>
        <v>0</v>
      </c>
      <c r="G104" s="35">
        <f>INDEX(CANCIONES!H$5:H$2500,SMALL('OPERACIONES DE FORMULAS'!$D$5:$D$300,ROW()-1)-4)</f>
        <v>0</v>
      </c>
      <c r="H104" s="34">
        <f t="shared" si="3"/>
        <v>103</v>
      </c>
      <c r="K104" s="32" t="e">
        <f>SMALL('OPERACIONES DE FORMULAS'!$D$5:$D$35,ROW()-1)</f>
        <v>#NUM!</v>
      </c>
    </row>
    <row r="105" spans="1:11" x14ac:dyDescent="0.25">
      <c r="A105" s="36" t="str">
        <f t="shared" si="2"/>
        <v>00</v>
      </c>
      <c r="B105" s="37">
        <f>INDEX(CANCIONES!C$5:C$2500,SMALL('OPERACIONES DE FORMULAS'!$D$5:$D$300,ROW()-1)-4)</f>
        <v>0</v>
      </c>
      <c r="C105" s="36">
        <f>INDEX(CANCIONES!D$5:D$2500,SMALL('OPERACIONES DE FORMULAS'!$D$5:$D$300,ROW()-1)-4)</f>
        <v>0</v>
      </c>
      <c r="D105" s="37">
        <f>INDEX(CANCIONES!E$5:E$2500,SMALL('OPERACIONES DE FORMULAS'!$D$5:$D$300,ROW()-1)-4)</f>
        <v>0</v>
      </c>
      <c r="E105" s="36">
        <f>INDEX(CANCIONES!F$5:F$2500,SMALL('OPERACIONES DE FORMULAS'!$D$5:$D$300,ROW()-1)-4)</f>
        <v>0</v>
      </c>
      <c r="F105" s="37">
        <f>INDEX(CANCIONES!G$5:G$2500,SMALL('OPERACIONES DE FORMULAS'!$D$5:$D$300,ROW()-1)-4)</f>
        <v>0</v>
      </c>
      <c r="G105" s="36">
        <f>INDEX(CANCIONES!H$5:H$2500,SMALL('OPERACIONES DE FORMULAS'!$D$5:$D$300,ROW()-1)-4)</f>
        <v>0</v>
      </c>
      <c r="H105" s="37">
        <f t="shared" si="3"/>
        <v>104</v>
      </c>
      <c r="K105" s="31" t="e">
        <f>SMALL('OPERACIONES DE FORMULAS'!$D$5:$D$35,ROW()-1)</f>
        <v>#NUM!</v>
      </c>
    </row>
    <row r="106" spans="1:11" x14ac:dyDescent="0.25">
      <c r="A106" s="33" t="str">
        <f t="shared" si="2"/>
        <v>00</v>
      </c>
      <c r="B106" s="34">
        <f>INDEX(CANCIONES!C$5:C$2500,SMALL('OPERACIONES DE FORMULAS'!$D$5:$D$300,ROW()-1)-4)</f>
        <v>0</v>
      </c>
      <c r="C106" s="35">
        <f>INDEX(CANCIONES!D$5:D$2500,SMALL('OPERACIONES DE FORMULAS'!$D$5:$D$300,ROW()-1)-4)</f>
        <v>0</v>
      </c>
      <c r="D106" s="34">
        <f>INDEX(CANCIONES!E$5:E$2500,SMALL('OPERACIONES DE FORMULAS'!$D$5:$D$300,ROW()-1)-4)</f>
        <v>0</v>
      </c>
      <c r="E106" s="35">
        <f>INDEX(CANCIONES!F$5:F$2500,SMALL('OPERACIONES DE FORMULAS'!$D$5:$D$300,ROW()-1)-4)</f>
        <v>0</v>
      </c>
      <c r="F106" s="34">
        <f>INDEX(CANCIONES!G$5:G$2500,SMALL('OPERACIONES DE FORMULAS'!$D$5:$D$300,ROW()-1)-4)</f>
        <v>0</v>
      </c>
      <c r="G106" s="35">
        <f>INDEX(CANCIONES!H$5:H$2500,SMALL('OPERACIONES DE FORMULAS'!$D$5:$D$300,ROW()-1)-4)</f>
        <v>0</v>
      </c>
      <c r="H106" s="34">
        <f t="shared" si="3"/>
        <v>105</v>
      </c>
      <c r="K106" s="32" t="e">
        <f>SMALL('OPERACIONES DE FORMULAS'!$D$5:$D$35,ROW()-1)</f>
        <v>#NUM!</v>
      </c>
    </row>
    <row r="107" spans="1:11" x14ac:dyDescent="0.25">
      <c r="A107" s="36" t="str">
        <f t="shared" si="2"/>
        <v>00</v>
      </c>
      <c r="B107" s="37">
        <f>INDEX(CANCIONES!C$5:C$2500,SMALL('OPERACIONES DE FORMULAS'!$D$5:$D$300,ROW()-1)-4)</f>
        <v>0</v>
      </c>
      <c r="C107" s="36">
        <f>INDEX(CANCIONES!D$5:D$2500,SMALL('OPERACIONES DE FORMULAS'!$D$5:$D$300,ROW()-1)-4)</f>
        <v>0</v>
      </c>
      <c r="D107" s="37">
        <f>INDEX(CANCIONES!E$5:E$2500,SMALL('OPERACIONES DE FORMULAS'!$D$5:$D$300,ROW()-1)-4)</f>
        <v>0</v>
      </c>
      <c r="E107" s="36">
        <f>INDEX(CANCIONES!F$5:F$2500,SMALL('OPERACIONES DE FORMULAS'!$D$5:$D$300,ROW()-1)-4)</f>
        <v>0</v>
      </c>
      <c r="F107" s="37">
        <f>INDEX(CANCIONES!G$5:G$2500,SMALL('OPERACIONES DE FORMULAS'!$D$5:$D$300,ROW()-1)-4)</f>
        <v>0</v>
      </c>
      <c r="G107" s="36">
        <f>INDEX(CANCIONES!H$5:H$2500,SMALL('OPERACIONES DE FORMULAS'!$D$5:$D$300,ROW()-1)-4)</f>
        <v>0</v>
      </c>
      <c r="H107" s="37">
        <f t="shared" si="3"/>
        <v>106</v>
      </c>
      <c r="K107" s="31" t="e">
        <f>SMALL('OPERACIONES DE FORMULAS'!$D$5:$D$35,ROW()-1)</f>
        <v>#NUM!</v>
      </c>
    </row>
    <row r="108" spans="1:11" x14ac:dyDescent="0.25">
      <c r="A108" s="33" t="str">
        <f t="shared" si="2"/>
        <v>00</v>
      </c>
      <c r="B108" s="34">
        <f>INDEX(CANCIONES!C$5:C$2500,SMALL('OPERACIONES DE FORMULAS'!$D$5:$D$300,ROW()-1)-4)</f>
        <v>0</v>
      </c>
      <c r="C108" s="35">
        <f>INDEX(CANCIONES!D$5:D$2500,SMALL('OPERACIONES DE FORMULAS'!$D$5:$D$300,ROW()-1)-4)</f>
        <v>0</v>
      </c>
      <c r="D108" s="34">
        <f>INDEX(CANCIONES!E$5:E$2500,SMALL('OPERACIONES DE FORMULAS'!$D$5:$D$300,ROW()-1)-4)</f>
        <v>0</v>
      </c>
      <c r="E108" s="35">
        <f>INDEX(CANCIONES!F$5:F$2500,SMALL('OPERACIONES DE FORMULAS'!$D$5:$D$300,ROW()-1)-4)</f>
        <v>0</v>
      </c>
      <c r="F108" s="34">
        <f>INDEX(CANCIONES!G$5:G$2500,SMALL('OPERACIONES DE FORMULAS'!$D$5:$D$300,ROW()-1)-4)</f>
        <v>0</v>
      </c>
      <c r="G108" s="35">
        <f>INDEX(CANCIONES!H$5:H$2500,SMALL('OPERACIONES DE FORMULAS'!$D$5:$D$300,ROW()-1)-4)</f>
        <v>0</v>
      </c>
      <c r="H108" s="34">
        <f t="shared" si="3"/>
        <v>107</v>
      </c>
      <c r="K108" s="32" t="e">
        <f>SMALL('OPERACIONES DE FORMULAS'!$D$5:$D$35,ROW()-1)</f>
        <v>#NUM!</v>
      </c>
    </row>
    <row r="109" spans="1:11" x14ac:dyDescent="0.25">
      <c r="A109" s="36" t="str">
        <f t="shared" si="2"/>
        <v>00</v>
      </c>
      <c r="B109" s="37">
        <f>INDEX(CANCIONES!C$5:C$2500,SMALL('OPERACIONES DE FORMULAS'!$D$5:$D$300,ROW()-1)-4)</f>
        <v>0</v>
      </c>
      <c r="C109" s="36">
        <f>INDEX(CANCIONES!D$5:D$2500,SMALL('OPERACIONES DE FORMULAS'!$D$5:$D$300,ROW()-1)-4)</f>
        <v>0</v>
      </c>
      <c r="D109" s="37">
        <f>INDEX(CANCIONES!E$5:E$2500,SMALL('OPERACIONES DE FORMULAS'!$D$5:$D$300,ROW()-1)-4)</f>
        <v>0</v>
      </c>
      <c r="E109" s="36">
        <f>INDEX(CANCIONES!F$5:F$2500,SMALL('OPERACIONES DE FORMULAS'!$D$5:$D$300,ROW()-1)-4)</f>
        <v>0</v>
      </c>
      <c r="F109" s="37">
        <f>INDEX(CANCIONES!G$5:G$2500,SMALL('OPERACIONES DE FORMULAS'!$D$5:$D$300,ROW()-1)-4)</f>
        <v>0</v>
      </c>
      <c r="G109" s="36">
        <f>INDEX(CANCIONES!H$5:H$2500,SMALL('OPERACIONES DE FORMULAS'!$D$5:$D$300,ROW()-1)-4)</f>
        <v>0</v>
      </c>
      <c r="H109" s="37">
        <f t="shared" si="3"/>
        <v>108</v>
      </c>
      <c r="K109" s="31" t="e">
        <f>SMALL('OPERACIONES DE FORMULAS'!$D$5:$D$35,ROW()-1)</f>
        <v>#NUM!</v>
      </c>
    </row>
    <row r="110" spans="1:11" x14ac:dyDescent="0.25">
      <c r="A110" s="33" t="str">
        <f t="shared" si="2"/>
        <v>00</v>
      </c>
      <c r="B110" s="34">
        <f>INDEX(CANCIONES!C$5:C$2500,SMALL('OPERACIONES DE FORMULAS'!$D$5:$D$300,ROW()-1)-4)</f>
        <v>0</v>
      </c>
      <c r="C110" s="35">
        <f>INDEX(CANCIONES!D$5:D$2500,SMALL('OPERACIONES DE FORMULAS'!$D$5:$D$300,ROW()-1)-4)</f>
        <v>0</v>
      </c>
      <c r="D110" s="34">
        <f>INDEX(CANCIONES!E$5:E$2500,SMALL('OPERACIONES DE FORMULAS'!$D$5:$D$300,ROW()-1)-4)</f>
        <v>0</v>
      </c>
      <c r="E110" s="35">
        <f>INDEX(CANCIONES!F$5:F$2500,SMALL('OPERACIONES DE FORMULAS'!$D$5:$D$300,ROW()-1)-4)</f>
        <v>0</v>
      </c>
      <c r="F110" s="34">
        <f>INDEX(CANCIONES!G$5:G$2500,SMALL('OPERACIONES DE FORMULAS'!$D$5:$D$300,ROW()-1)-4)</f>
        <v>0</v>
      </c>
      <c r="G110" s="35">
        <f>INDEX(CANCIONES!H$5:H$2500,SMALL('OPERACIONES DE FORMULAS'!$D$5:$D$300,ROW()-1)-4)</f>
        <v>0</v>
      </c>
      <c r="H110" s="34">
        <f t="shared" si="3"/>
        <v>109</v>
      </c>
      <c r="K110" s="32" t="e">
        <f>SMALL('OPERACIONES DE FORMULAS'!$D$5:$D$35,ROW()-1)</f>
        <v>#NUM!</v>
      </c>
    </row>
    <row r="111" spans="1:11" x14ac:dyDescent="0.25">
      <c r="A111" s="36" t="str">
        <f t="shared" si="2"/>
        <v>00</v>
      </c>
      <c r="B111" s="37">
        <f>INDEX(CANCIONES!C$5:C$2500,SMALL('OPERACIONES DE FORMULAS'!$D$5:$D$300,ROW()-1)-4)</f>
        <v>0</v>
      </c>
      <c r="C111" s="36">
        <f>INDEX(CANCIONES!D$5:D$2500,SMALL('OPERACIONES DE FORMULAS'!$D$5:$D$300,ROW()-1)-4)</f>
        <v>0</v>
      </c>
      <c r="D111" s="37">
        <f>INDEX(CANCIONES!E$5:E$2500,SMALL('OPERACIONES DE FORMULAS'!$D$5:$D$300,ROW()-1)-4)</f>
        <v>0</v>
      </c>
      <c r="E111" s="36">
        <f>INDEX(CANCIONES!F$5:F$2500,SMALL('OPERACIONES DE FORMULAS'!$D$5:$D$300,ROW()-1)-4)</f>
        <v>0</v>
      </c>
      <c r="F111" s="37">
        <f>INDEX(CANCIONES!G$5:G$2500,SMALL('OPERACIONES DE FORMULAS'!$D$5:$D$300,ROW()-1)-4)</f>
        <v>0</v>
      </c>
      <c r="G111" s="36">
        <f>INDEX(CANCIONES!H$5:H$2500,SMALL('OPERACIONES DE FORMULAS'!$D$5:$D$300,ROW()-1)-4)</f>
        <v>0</v>
      </c>
      <c r="H111" s="37">
        <f t="shared" si="3"/>
        <v>110</v>
      </c>
      <c r="K111" s="31" t="e">
        <f>SMALL('OPERACIONES DE FORMULAS'!$D$5:$D$35,ROW()-1)</f>
        <v>#NUM!</v>
      </c>
    </row>
    <row r="112" spans="1:11" x14ac:dyDescent="0.25">
      <c r="A112" s="33" t="str">
        <f t="shared" si="2"/>
        <v>00</v>
      </c>
      <c r="B112" s="34">
        <f>INDEX(CANCIONES!C$5:C$2500,SMALL('OPERACIONES DE FORMULAS'!$D$5:$D$300,ROW()-1)-4)</f>
        <v>0</v>
      </c>
      <c r="C112" s="35">
        <f>INDEX(CANCIONES!D$5:D$2500,SMALL('OPERACIONES DE FORMULAS'!$D$5:$D$300,ROW()-1)-4)</f>
        <v>0</v>
      </c>
      <c r="D112" s="34">
        <f>INDEX(CANCIONES!E$5:E$2500,SMALL('OPERACIONES DE FORMULAS'!$D$5:$D$300,ROW()-1)-4)</f>
        <v>0</v>
      </c>
      <c r="E112" s="35">
        <f>INDEX(CANCIONES!F$5:F$2500,SMALL('OPERACIONES DE FORMULAS'!$D$5:$D$300,ROW()-1)-4)</f>
        <v>0</v>
      </c>
      <c r="F112" s="34">
        <f>INDEX(CANCIONES!G$5:G$2500,SMALL('OPERACIONES DE FORMULAS'!$D$5:$D$300,ROW()-1)-4)</f>
        <v>0</v>
      </c>
      <c r="G112" s="35">
        <f>INDEX(CANCIONES!H$5:H$2500,SMALL('OPERACIONES DE FORMULAS'!$D$5:$D$300,ROW()-1)-4)</f>
        <v>0</v>
      </c>
      <c r="H112" s="34">
        <f t="shared" si="3"/>
        <v>111</v>
      </c>
      <c r="K112" s="32" t="e">
        <f>SMALL('OPERACIONES DE FORMULAS'!$D$5:$D$35,ROW()-1)</f>
        <v>#NUM!</v>
      </c>
    </row>
    <row r="113" spans="1:11" x14ac:dyDescent="0.25">
      <c r="A113" s="36" t="str">
        <f t="shared" si="2"/>
        <v>00</v>
      </c>
      <c r="B113" s="37">
        <f>INDEX(CANCIONES!C$5:C$2500,SMALL('OPERACIONES DE FORMULAS'!$D$5:$D$300,ROW()-1)-4)</f>
        <v>0</v>
      </c>
      <c r="C113" s="36">
        <f>INDEX(CANCIONES!D$5:D$2500,SMALL('OPERACIONES DE FORMULAS'!$D$5:$D$300,ROW()-1)-4)</f>
        <v>0</v>
      </c>
      <c r="D113" s="37">
        <f>INDEX(CANCIONES!E$5:E$2500,SMALL('OPERACIONES DE FORMULAS'!$D$5:$D$300,ROW()-1)-4)</f>
        <v>0</v>
      </c>
      <c r="E113" s="36">
        <f>INDEX(CANCIONES!F$5:F$2500,SMALL('OPERACIONES DE FORMULAS'!$D$5:$D$300,ROW()-1)-4)</f>
        <v>0</v>
      </c>
      <c r="F113" s="37">
        <f>INDEX(CANCIONES!G$5:G$2500,SMALL('OPERACIONES DE FORMULAS'!$D$5:$D$300,ROW()-1)-4)</f>
        <v>0</v>
      </c>
      <c r="G113" s="36">
        <f>INDEX(CANCIONES!H$5:H$2500,SMALL('OPERACIONES DE FORMULAS'!$D$5:$D$300,ROW()-1)-4)</f>
        <v>0</v>
      </c>
      <c r="H113" s="37">
        <f t="shared" si="3"/>
        <v>112</v>
      </c>
      <c r="K113" s="31" t="e">
        <f>SMALL('OPERACIONES DE FORMULAS'!$D$5:$D$35,ROW()-1)</f>
        <v>#NUM!</v>
      </c>
    </row>
    <row r="114" spans="1:11" x14ac:dyDescent="0.25">
      <c r="A114" s="33" t="str">
        <f t="shared" si="2"/>
        <v>00</v>
      </c>
      <c r="B114" s="34">
        <f>INDEX(CANCIONES!C$5:C$2500,SMALL('OPERACIONES DE FORMULAS'!$D$5:$D$300,ROW()-1)-4)</f>
        <v>0</v>
      </c>
      <c r="C114" s="35">
        <f>INDEX(CANCIONES!D$5:D$2500,SMALL('OPERACIONES DE FORMULAS'!$D$5:$D$300,ROW()-1)-4)</f>
        <v>0</v>
      </c>
      <c r="D114" s="34">
        <f>INDEX(CANCIONES!E$5:E$2500,SMALL('OPERACIONES DE FORMULAS'!$D$5:$D$300,ROW()-1)-4)</f>
        <v>0</v>
      </c>
      <c r="E114" s="35">
        <f>INDEX(CANCIONES!F$5:F$2500,SMALL('OPERACIONES DE FORMULAS'!$D$5:$D$300,ROW()-1)-4)</f>
        <v>0</v>
      </c>
      <c r="F114" s="34">
        <f>INDEX(CANCIONES!G$5:G$2500,SMALL('OPERACIONES DE FORMULAS'!$D$5:$D$300,ROW()-1)-4)</f>
        <v>0</v>
      </c>
      <c r="G114" s="35">
        <f>INDEX(CANCIONES!H$5:H$2500,SMALL('OPERACIONES DE FORMULAS'!$D$5:$D$300,ROW()-1)-4)</f>
        <v>0</v>
      </c>
      <c r="H114" s="34">
        <f t="shared" si="3"/>
        <v>113</v>
      </c>
      <c r="K114" s="32" t="e">
        <f>SMALL('OPERACIONES DE FORMULAS'!$D$5:$D$35,ROW()-1)</f>
        <v>#NUM!</v>
      </c>
    </row>
    <row r="115" spans="1:11" x14ac:dyDescent="0.25">
      <c r="A115" s="36" t="str">
        <f t="shared" si="2"/>
        <v>00</v>
      </c>
      <c r="B115" s="37">
        <f>INDEX(CANCIONES!C$5:C$2500,SMALL('OPERACIONES DE FORMULAS'!$D$5:$D$300,ROW()-1)-4)</f>
        <v>0</v>
      </c>
      <c r="C115" s="36">
        <f>INDEX(CANCIONES!D$5:D$2500,SMALL('OPERACIONES DE FORMULAS'!$D$5:$D$300,ROW()-1)-4)</f>
        <v>0</v>
      </c>
      <c r="D115" s="37">
        <f>INDEX(CANCIONES!E$5:E$2500,SMALL('OPERACIONES DE FORMULAS'!$D$5:$D$300,ROW()-1)-4)</f>
        <v>0</v>
      </c>
      <c r="E115" s="36">
        <f>INDEX(CANCIONES!F$5:F$2500,SMALL('OPERACIONES DE FORMULAS'!$D$5:$D$300,ROW()-1)-4)</f>
        <v>0</v>
      </c>
      <c r="F115" s="37">
        <f>INDEX(CANCIONES!G$5:G$2500,SMALL('OPERACIONES DE FORMULAS'!$D$5:$D$300,ROW()-1)-4)</f>
        <v>0</v>
      </c>
      <c r="G115" s="36">
        <f>INDEX(CANCIONES!H$5:H$2500,SMALL('OPERACIONES DE FORMULAS'!$D$5:$D$300,ROW()-1)-4)</f>
        <v>0</v>
      </c>
      <c r="H115" s="37">
        <f t="shared" si="3"/>
        <v>114</v>
      </c>
      <c r="K115" s="31" t="e">
        <f>SMALL('OPERACIONES DE FORMULAS'!$D$5:$D$35,ROW()-1)</f>
        <v>#NUM!</v>
      </c>
    </row>
    <row r="116" spans="1:11" x14ac:dyDescent="0.25">
      <c r="A116" s="33" t="str">
        <f t="shared" si="2"/>
        <v>00</v>
      </c>
      <c r="B116" s="34">
        <f>INDEX(CANCIONES!C$5:C$2500,SMALL('OPERACIONES DE FORMULAS'!$D$5:$D$300,ROW()-1)-4)</f>
        <v>0</v>
      </c>
      <c r="C116" s="35">
        <f>INDEX(CANCIONES!D$5:D$2500,SMALL('OPERACIONES DE FORMULAS'!$D$5:$D$300,ROW()-1)-4)</f>
        <v>0</v>
      </c>
      <c r="D116" s="34">
        <f>INDEX(CANCIONES!E$5:E$2500,SMALL('OPERACIONES DE FORMULAS'!$D$5:$D$300,ROW()-1)-4)</f>
        <v>0</v>
      </c>
      <c r="E116" s="35">
        <f>INDEX(CANCIONES!F$5:F$2500,SMALL('OPERACIONES DE FORMULAS'!$D$5:$D$300,ROW()-1)-4)</f>
        <v>0</v>
      </c>
      <c r="F116" s="34">
        <f>INDEX(CANCIONES!G$5:G$2500,SMALL('OPERACIONES DE FORMULAS'!$D$5:$D$300,ROW()-1)-4)</f>
        <v>0</v>
      </c>
      <c r="G116" s="35">
        <f>INDEX(CANCIONES!H$5:H$2500,SMALL('OPERACIONES DE FORMULAS'!$D$5:$D$300,ROW()-1)-4)</f>
        <v>0</v>
      </c>
      <c r="H116" s="34">
        <f t="shared" si="3"/>
        <v>115</v>
      </c>
      <c r="K116" s="32" t="e">
        <f>SMALL('OPERACIONES DE FORMULAS'!$D$5:$D$35,ROW()-1)</f>
        <v>#NUM!</v>
      </c>
    </row>
    <row r="117" spans="1:11" x14ac:dyDescent="0.25">
      <c r="A117" s="36" t="str">
        <f t="shared" si="2"/>
        <v>00</v>
      </c>
      <c r="B117" s="37">
        <f>INDEX(CANCIONES!C$5:C$2500,SMALL('OPERACIONES DE FORMULAS'!$D$5:$D$300,ROW()-1)-4)</f>
        <v>0</v>
      </c>
      <c r="C117" s="36">
        <f>INDEX(CANCIONES!D$5:D$2500,SMALL('OPERACIONES DE FORMULAS'!$D$5:$D$300,ROW()-1)-4)</f>
        <v>0</v>
      </c>
      <c r="D117" s="37">
        <f>INDEX(CANCIONES!E$5:E$2500,SMALL('OPERACIONES DE FORMULAS'!$D$5:$D$300,ROW()-1)-4)</f>
        <v>0</v>
      </c>
      <c r="E117" s="36">
        <f>INDEX(CANCIONES!F$5:F$2500,SMALL('OPERACIONES DE FORMULAS'!$D$5:$D$300,ROW()-1)-4)</f>
        <v>0</v>
      </c>
      <c r="F117" s="37">
        <f>INDEX(CANCIONES!G$5:G$2500,SMALL('OPERACIONES DE FORMULAS'!$D$5:$D$300,ROW()-1)-4)</f>
        <v>0</v>
      </c>
      <c r="G117" s="36">
        <f>INDEX(CANCIONES!H$5:H$2500,SMALL('OPERACIONES DE FORMULAS'!$D$5:$D$300,ROW()-1)-4)</f>
        <v>0</v>
      </c>
      <c r="H117" s="37">
        <f t="shared" si="3"/>
        <v>116</v>
      </c>
      <c r="K117" s="31" t="e">
        <f>SMALL('OPERACIONES DE FORMULAS'!$D$5:$D$35,ROW()-1)</f>
        <v>#NUM!</v>
      </c>
    </row>
    <row r="118" spans="1:11" x14ac:dyDescent="0.25">
      <c r="A118" s="33" t="str">
        <f t="shared" si="2"/>
        <v>00</v>
      </c>
      <c r="B118" s="34">
        <f>INDEX(CANCIONES!C$5:C$2500,SMALL('OPERACIONES DE FORMULAS'!$D$5:$D$300,ROW()-1)-4)</f>
        <v>0</v>
      </c>
      <c r="C118" s="35">
        <f>INDEX(CANCIONES!D$5:D$2500,SMALL('OPERACIONES DE FORMULAS'!$D$5:$D$300,ROW()-1)-4)</f>
        <v>0</v>
      </c>
      <c r="D118" s="34">
        <f>INDEX(CANCIONES!E$5:E$2500,SMALL('OPERACIONES DE FORMULAS'!$D$5:$D$300,ROW()-1)-4)</f>
        <v>0</v>
      </c>
      <c r="E118" s="35">
        <f>INDEX(CANCIONES!F$5:F$2500,SMALL('OPERACIONES DE FORMULAS'!$D$5:$D$300,ROW()-1)-4)</f>
        <v>0</v>
      </c>
      <c r="F118" s="34">
        <f>INDEX(CANCIONES!G$5:G$2500,SMALL('OPERACIONES DE FORMULAS'!$D$5:$D$300,ROW()-1)-4)</f>
        <v>0</v>
      </c>
      <c r="G118" s="35">
        <f>INDEX(CANCIONES!H$5:H$2500,SMALL('OPERACIONES DE FORMULAS'!$D$5:$D$300,ROW()-1)-4)</f>
        <v>0</v>
      </c>
      <c r="H118" s="34">
        <f t="shared" si="3"/>
        <v>117</v>
      </c>
      <c r="K118" s="32" t="e">
        <f>SMALL('OPERACIONES DE FORMULAS'!$D$5:$D$35,ROW()-1)</f>
        <v>#NUM!</v>
      </c>
    </row>
    <row r="119" spans="1:11" x14ac:dyDescent="0.25">
      <c r="A119" s="36" t="str">
        <f t="shared" si="2"/>
        <v>00</v>
      </c>
      <c r="B119" s="37">
        <f>INDEX(CANCIONES!C$5:C$2500,SMALL('OPERACIONES DE FORMULAS'!$D$5:$D$300,ROW()-1)-4)</f>
        <v>0</v>
      </c>
      <c r="C119" s="36">
        <f>INDEX(CANCIONES!D$5:D$2500,SMALL('OPERACIONES DE FORMULAS'!$D$5:$D$300,ROW()-1)-4)</f>
        <v>0</v>
      </c>
      <c r="D119" s="37">
        <f>INDEX(CANCIONES!E$5:E$2500,SMALL('OPERACIONES DE FORMULAS'!$D$5:$D$300,ROW()-1)-4)</f>
        <v>0</v>
      </c>
      <c r="E119" s="36">
        <f>INDEX(CANCIONES!F$5:F$2500,SMALL('OPERACIONES DE FORMULAS'!$D$5:$D$300,ROW()-1)-4)</f>
        <v>0</v>
      </c>
      <c r="F119" s="37">
        <f>INDEX(CANCIONES!G$5:G$2500,SMALL('OPERACIONES DE FORMULAS'!$D$5:$D$300,ROW()-1)-4)</f>
        <v>0</v>
      </c>
      <c r="G119" s="36">
        <f>INDEX(CANCIONES!H$5:H$2500,SMALL('OPERACIONES DE FORMULAS'!$D$5:$D$300,ROW()-1)-4)</f>
        <v>0</v>
      </c>
      <c r="H119" s="37">
        <f t="shared" si="3"/>
        <v>118</v>
      </c>
      <c r="K119" s="31" t="e">
        <f>SMALL('OPERACIONES DE FORMULAS'!$D$5:$D$35,ROW()-1)</f>
        <v>#NUM!</v>
      </c>
    </row>
    <row r="120" spans="1:11" x14ac:dyDescent="0.25">
      <c r="A120" s="33" t="str">
        <f t="shared" si="2"/>
        <v>00</v>
      </c>
      <c r="B120" s="34">
        <f>INDEX(CANCIONES!C$5:C$2500,SMALL('OPERACIONES DE FORMULAS'!$D$5:$D$300,ROW()-1)-4)</f>
        <v>0</v>
      </c>
      <c r="C120" s="35">
        <f>INDEX(CANCIONES!D$5:D$2500,SMALL('OPERACIONES DE FORMULAS'!$D$5:$D$300,ROW()-1)-4)</f>
        <v>0</v>
      </c>
      <c r="D120" s="34">
        <f>INDEX(CANCIONES!E$5:E$2500,SMALL('OPERACIONES DE FORMULAS'!$D$5:$D$300,ROW()-1)-4)</f>
        <v>0</v>
      </c>
      <c r="E120" s="35">
        <f>INDEX(CANCIONES!F$5:F$2500,SMALL('OPERACIONES DE FORMULAS'!$D$5:$D$300,ROW()-1)-4)</f>
        <v>0</v>
      </c>
      <c r="F120" s="34">
        <f>INDEX(CANCIONES!G$5:G$2500,SMALL('OPERACIONES DE FORMULAS'!$D$5:$D$300,ROW()-1)-4)</f>
        <v>0</v>
      </c>
      <c r="G120" s="35">
        <f>INDEX(CANCIONES!H$5:H$2500,SMALL('OPERACIONES DE FORMULAS'!$D$5:$D$300,ROW()-1)-4)</f>
        <v>0</v>
      </c>
      <c r="H120" s="34">
        <f t="shared" si="3"/>
        <v>119</v>
      </c>
      <c r="K120" s="32" t="e">
        <f>SMALL('OPERACIONES DE FORMULAS'!$D$5:$D$35,ROW()-1)</f>
        <v>#NUM!</v>
      </c>
    </row>
    <row r="121" spans="1:11" x14ac:dyDescent="0.25">
      <c r="A121" s="36" t="str">
        <f t="shared" si="2"/>
        <v>00</v>
      </c>
      <c r="B121" s="37">
        <f>INDEX(CANCIONES!C$5:C$2500,SMALL('OPERACIONES DE FORMULAS'!$D$5:$D$300,ROW()-1)-4)</f>
        <v>0</v>
      </c>
      <c r="C121" s="36">
        <f>INDEX(CANCIONES!D$5:D$2500,SMALL('OPERACIONES DE FORMULAS'!$D$5:$D$300,ROW()-1)-4)</f>
        <v>0</v>
      </c>
      <c r="D121" s="37">
        <f>INDEX(CANCIONES!E$5:E$2500,SMALL('OPERACIONES DE FORMULAS'!$D$5:$D$300,ROW()-1)-4)</f>
        <v>0</v>
      </c>
      <c r="E121" s="36">
        <f>INDEX(CANCIONES!F$5:F$2500,SMALL('OPERACIONES DE FORMULAS'!$D$5:$D$300,ROW()-1)-4)</f>
        <v>0</v>
      </c>
      <c r="F121" s="37">
        <f>INDEX(CANCIONES!G$5:G$2500,SMALL('OPERACIONES DE FORMULAS'!$D$5:$D$300,ROW()-1)-4)</f>
        <v>0</v>
      </c>
      <c r="G121" s="36">
        <f>INDEX(CANCIONES!H$5:H$2500,SMALL('OPERACIONES DE FORMULAS'!$D$5:$D$300,ROW()-1)-4)</f>
        <v>0</v>
      </c>
      <c r="H121" s="37">
        <f t="shared" si="3"/>
        <v>120</v>
      </c>
      <c r="K121" s="31" t="e">
        <f>SMALL('OPERACIONES DE FORMULAS'!$D$5:$D$35,ROW()-1)</f>
        <v>#NUM!</v>
      </c>
    </row>
    <row r="122" spans="1:11" x14ac:dyDescent="0.25">
      <c r="A122" s="33" t="str">
        <f t="shared" si="2"/>
        <v>00</v>
      </c>
      <c r="B122" s="34">
        <f>INDEX(CANCIONES!C$5:C$2500,SMALL('OPERACIONES DE FORMULAS'!$D$5:$D$300,ROW()-1)-4)</f>
        <v>0</v>
      </c>
      <c r="C122" s="35">
        <f>INDEX(CANCIONES!D$5:D$2500,SMALL('OPERACIONES DE FORMULAS'!$D$5:$D$300,ROW()-1)-4)</f>
        <v>0</v>
      </c>
      <c r="D122" s="34">
        <f>INDEX(CANCIONES!E$5:E$2500,SMALL('OPERACIONES DE FORMULAS'!$D$5:$D$300,ROW()-1)-4)</f>
        <v>0</v>
      </c>
      <c r="E122" s="35">
        <f>INDEX(CANCIONES!F$5:F$2500,SMALL('OPERACIONES DE FORMULAS'!$D$5:$D$300,ROW()-1)-4)</f>
        <v>0</v>
      </c>
      <c r="F122" s="34">
        <f>INDEX(CANCIONES!G$5:G$2500,SMALL('OPERACIONES DE FORMULAS'!$D$5:$D$300,ROW()-1)-4)</f>
        <v>0</v>
      </c>
      <c r="G122" s="35">
        <f>INDEX(CANCIONES!H$5:H$2500,SMALL('OPERACIONES DE FORMULAS'!$D$5:$D$300,ROW()-1)-4)</f>
        <v>0</v>
      </c>
      <c r="H122" s="34">
        <f t="shared" si="3"/>
        <v>121</v>
      </c>
      <c r="K122" s="32" t="e">
        <f>SMALL('OPERACIONES DE FORMULAS'!$D$5:$D$35,ROW()-1)</f>
        <v>#NUM!</v>
      </c>
    </row>
    <row r="123" spans="1:11" x14ac:dyDescent="0.25">
      <c r="A123" s="36" t="str">
        <f t="shared" si="2"/>
        <v>00</v>
      </c>
      <c r="B123" s="37">
        <f>INDEX(CANCIONES!C$5:C$2500,SMALL('OPERACIONES DE FORMULAS'!$D$5:$D$300,ROW()-1)-4)</f>
        <v>0</v>
      </c>
      <c r="C123" s="36">
        <f>INDEX(CANCIONES!D$5:D$2500,SMALL('OPERACIONES DE FORMULAS'!$D$5:$D$300,ROW()-1)-4)</f>
        <v>0</v>
      </c>
      <c r="D123" s="37">
        <f>INDEX(CANCIONES!E$5:E$2500,SMALL('OPERACIONES DE FORMULAS'!$D$5:$D$300,ROW()-1)-4)</f>
        <v>0</v>
      </c>
      <c r="E123" s="36">
        <f>INDEX(CANCIONES!F$5:F$2500,SMALL('OPERACIONES DE FORMULAS'!$D$5:$D$300,ROW()-1)-4)</f>
        <v>0</v>
      </c>
      <c r="F123" s="37">
        <f>INDEX(CANCIONES!G$5:G$2500,SMALL('OPERACIONES DE FORMULAS'!$D$5:$D$300,ROW()-1)-4)</f>
        <v>0</v>
      </c>
      <c r="G123" s="36">
        <f>INDEX(CANCIONES!H$5:H$2500,SMALL('OPERACIONES DE FORMULAS'!$D$5:$D$300,ROW()-1)-4)</f>
        <v>0</v>
      </c>
      <c r="H123" s="37">
        <f t="shared" si="3"/>
        <v>122</v>
      </c>
      <c r="K123" s="31" t="e">
        <f>SMALL('OPERACIONES DE FORMULAS'!$D$5:$D$35,ROW()-1)</f>
        <v>#NUM!</v>
      </c>
    </row>
    <row r="124" spans="1:11" x14ac:dyDescent="0.25">
      <c r="A124" s="33" t="str">
        <f t="shared" si="2"/>
        <v>00</v>
      </c>
      <c r="B124" s="34">
        <f>INDEX(CANCIONES!C$5:C$2500,SMALL('OPERACIONES DE FORMULAS'!$D$5:$D$300,ROW()-1)-4)</f>
        <v>0</v>
      </c>
      <c r="C124" s="35">
        <f>INDEX(CANCIONES!D$5:D$2500,SMALL('OPERACIONES DE FORMULAS'!$D$5:$D$300,ROW()-1)-4)</f>
        <v>0</v>
      </c>
      <c r="D124" s="34">
        <f>INDEX(CANCIONES!E$5:E$2500,SMALL('OPERACIONES DE FORMULAS'!$D$5:$D$300,ROW()-1)-4)</f>
        <v>0</v>
      </c>
      <c r="E124" s="35">
        <f>INDEX(CANCIONES!F$5:F$2500,SMALL('OPERACIONES DE FORMULAS'!$D$5:$D$300,ROW()-1)-4)</f>
        <v>0</v>
      </c>
      <c r="F124" s="34">
        <f>INDEX(CANCIONES!G$5:G$2500,SMALL('OPERACIONES DE FORMULAS'!$D$5:$D$300,ROW()-1)-4)</f>
        <v>0</v>
      </c>
      <c r="G124" s="35">
        <f>INDEX(CANCIONES!H$5:H$2500,SMALL('OPERACIONES DE FORMULAS'!$D$5:$D$300,ROW()-1)-4)</f>
        <v>0</v>
      </c>
      <c r="H124" s="34">
        <f t="shared" si="3"/>
        <v>123</v>
      </c>
      <c r="K124" s="32" t="e">
        <f>SMALL('OPERACIONES DE FORMULAS'!$D$5:$D$35,ROW()-1)</f>
        <v>#NUM!</v>
      </c>
    </row>
    <row r="125" spans="1:11" x14ac:dyDescent="0.25">
      <c r="A125" s="36" t="str">
        <f t="shared" si="2"/>
        <v>00</v>
      </c>
      <c r="B125" s="37">
        <f>INDEX(CANCIONES!C$5:C$2500,SMALL('OPERACIONES DE FORMULAS'!$D$5:$D$300,ROW()-1)-4)</f>
        <v>0</v>
      </c>
      <c r="C125" s="36">
        <f>INDEX(CANCIONES!D$5:D$2500,SMALL('OPERACIONES DE FORMULAS'!$D$5:$D$300,ROW()-1)-4)</f>
        <v>0</v>
      </c>
      <c r="D125" s="37">
        <f>INDEX(CANCIONES!E$5:E$2500,SMALL('OPERACIONES DE FORMULAS'!$D$5:$D$300,ROW()-1)-4)</f>
        <v>0</v>
      </c>
      <c r="E125" s="36">
        <f>INDEX(CANCIONES!F$5:F$2500,SMALL('OPERACIONES DE FORMULAS'!$D$5:$D$300,ROW()-1)-4)</f>
        <v>0</v>
      </c>
      <c r="F125" s="37">
        <f>INDEX(CANCIONES!G$5:G$2500,SMALL('OPERACIONES DE FORMULAS'!$D$5:$D$300,ROW()-1)-4)</f>
        <v>0</v>
      </c>
      <c r="G125" s="36">
        <f>INDEX(CANCIONES!H$5:H$2500,SMALL('OPERACIONES DE FORMULAS'!$D$5:$D$300,ROW()-1)-4)</f>
        <v>0</v>
      </c>
      <c r="H125" s="37">
        <f t="shared" si="3"/>
        <v>124</v>
      </c>
      <c r="K125" s="31" t="e">
        <f>SMALL('OPERACIONES DE FORMULAS'!$D$5:$D$35,ROW()-1)</f>
        <v>#NUM!</v>
      </c>
    </row>
    <row r="126" spans="1:11" x14ac:dyDescent="0.25">
      <c r="A126" s="33" t="str">
        <f t="shared" si="2"/>
        <v>00</v>
      </c>
      <c r="B126" s="34">
        <f>INDEX(CANCIONES!C$5:C$2500,SMALL('OPERACIONES DE FORMULAS'!$D$5:$D$300,ROW()-1)-4)</f>
        <v>0</v>
      </c>
      <c r="C126" s="35">
        <f>INDEX(CANCIONES!D$5:D$2500,SMALL('OPERACIONES DE FORMULAS'!$D$5:$D$300,ROW()-1)-4)</f>
        <v>0</v>
      </c>
      <c r="D126" s="34">
        <f>INDEX(CANCIONES!E$5:E$2500,SMALL('OPERACIONES DE FORMULAS'!$D$5:$D$300,ROW()-1)-4)</f>
        <v>0</v>
      </c>
      <c r="E126" s="35">
        <f>INDEX(CANCIONES!F$5:F$2500,SMALL('OPERACIONES DE FORMULAS'!$D$5:$D$300,ROW()-1)-4)</f>
        <v>0</v>
      </c>
      <c r="F126" s="34">
        <f>INDEX(CANCIONES!G$5:G$2500,SMALL('OPERACIONES DE FORMULAS'!$D$5:$D$300,ROW()-1)-4)</f>
        <v>0</v>
      </c>
      <c r="G126" s="35">
        <f>INDEX(CANCIONES!H$5:H$2500,SMALL('OPERACIONES DE FORMULAS'!$D$5:$D$300,ROW()-1)-4)</f>
        <v>0</v>
      </c>
      <c r="H126" s="34">
        <f t="shared" si="3"/>
        <v>125</v>
      </c>
      <c r="K126" s="32" t="e">
        <f>SMALL('OPERACIONES DE FORMULAS'!$D$5:$D$35,ROW()-1)</f>
        <v>#NUM!</v>
      </c>
    </row>
    <row r="127" spans="1:11" x14ac:dyDescent="0.25">
      <c r="A127" s="36" t="str">
        <f t="shared" si="2"/>
        <v>00</v>
      </c>
      <c r="B127" s="37">
        <f>INDEX(CANCIONES!C$5:C$2500,SMALL('OPERACIONES DE FORMULAS'!$D$5:$D$300,ROW()-1)-4)</f>
        <v>0</v>
      </c>
      <c r="C127" s="36">
        <f>INDEX(CANCIONES!D$5:D$2500,SMALL('OPERACIONES DE FORMULAS'!$D$5:$D$300,ROW()-1)-4)</f>
        <v>0</v>
      </c>
      <c r="D127" s="37">
        <f>INDEX(CANCIONES!E$5:E$2500,SMALL('OPERACIONES DE FORMULAS'!$D$5:$D$300,ROW()-1)-4)</f>
        <v>0</v>
      </c>
      <c r="E127" s="36">
        <f>INDEX(CANCIONES!F$5:F$2500,SMALL('OPERACIONES DE FORMULAS'!$D$5:$D$300,ROW()-1)-4)</f>
        <v>0</v>
      </c>
      <c r="F127" s="37">
        <f>INDEX(CANCIONES!G$5:G$2500,SMALL('OPERACIONES DE FORMULAS'!$D$5:$D$300,ROW()-1)-4)</f>
        <v>0</v>
      </c>
      <c r="G127" s="36">
        <f>INDEX(CANCIONES!H$5:H$2500,SMALL('OPERACIONES DE FORMULAS'!$D$5:$D$300,ROW()-1)-4)</f>
        <v>0</v>
      </c>
      <c r="H127" s="37">
        <f t="shared" si="3"/>
        <v>126</v>
      </c>
      <c r="K127" s="31" t="e">
        <f>SMALL('OPERACIONES DE FORMULAS'!$D$5:$D$35,ROW()-1)</f>
        <v>#NUM!</v>
      </c>
    </row>
    <row r="128" spans="1:11" x14ac:dyDescent="0.25">
      <c r="A128" s="33" t="str">
        <f t="shared" si="2"/>
        <v>00</v>
      </c>
      <c r="B128" s="34">
        <f>INDEX(CANCIONES!C$5:C$2500,SMALL('OPERACIONES DE FORMULAS'!$D$5:$D$300,ROW()-1)-4)</f>
        <v>0</v>
      </c>
      <c r="C128" s="35">
        <f>INDEX(CANCIONES!D$5:D$2500,SMALL('OPERACIONES DE FORMULAS'!$D$5:$D$300,ROW()-1)-4)</f>
        <v>0</v>
      </c>
      <c r="D128" s="34">
        <f>INDEX(CANCIONES!E$5:E$2500,SMALL('OPERACIONES DE FORMULAS'!$D$5:$D$300,ROW()-1)-4)</f>
        <v>0</v>
      </c>
      <c r="E128" s="35">
        <f>INDEX(CANCIONES!F$5:F$2500,SMALL('OPERACIONES DE FORMULAS'!$D$5:$D$300,ROW()-1)-4)</f>
        <v>0</v>
      </c>
      <c r="F128" s="34">
        <f>INDEX(CANCIONES!G$5:G$2500,SMALL('OPERACIONES DE FORMULAS'!$D$5:$D$300,ROW()-1)-4)</f>
        <v>0</v>
      </c>
      <c r="G128" s="35">
        <f>INDEX(CANCIONES!H$5:H$2500,SMALL('OPERACIONES DE FORMULAS'!$D$5:$D$300,ROW()-1)-4)</f>
        <v>0</v>
      </c>
      <c r="H128" s="34">
        <f t="shared" si="3"/>
        <v>127</v>
      </c>
      <c r="K128" s="32" t="e">
        <f>SMALL('OPERACIONES DE FORMULAS'!$D$5:$D$35,ROW()-1)</f>
        <v>#NUM!</v>
      </c>
    </row>
    <row r="129" spans="1:11" x14ac:dyDescent="0.25">
      <c r="A129" s="36" t="str">
        <f t="shared" si="2"/>
        <v>00</v>
      </c>
      <c r="B129" s="37">
        <f>INDEX(CANCIONES!C$5:C$2500,SMALL('OPERACIONES DE FORMULAS'!$D$5:$D$300,ROW()-1)-4)</f>
        <v>0</v>
      </c>
      <c r="C129" s="36">
        <f>INDEX(CANCIONES!D$5:D$2500,SMALL('OPERACIONES DE FORMULAS'!$D$5:$D$300,ROW()-1)-4)</f>
        <v>0</v>
      </c>
      <c r="D129" s="37">
        <f>INDEX(CANCIONES!E$5:E$2500,SMALL('OPERACIONES DE FORMULAS'!$D$5:$D$300,ROW()-1)-4)</f>
        <v>0</v>
      </c>
      <c r="E129" s="36">
        <f>INDEX(CANCIONES!F$5:F$2500,SMALL('OPERACIONES DE FORMULAS'!$D$5:$D$300,ROW()-1)-4)</f>
        <v>0</v>
      </c>
      <c r="F129" s="37">
        <f>INDEX(CANCIONES!G$5:G$2500,SMALL('OPERACIONES DE FORMULAS'!$D$5:$D$300,ROW()-1)-4)</f>
        <v>0</v>
      </c>
      <c r="G129" s="36">
        <f>INDEX(CANCIONES!H$5:H$2500,SMALL('OPERACIONES DE FORMULAS'!$D$5:$D$300,ROW()-1)-4)</f>
        <v>0</v>
      </c>
      <c r="H129" s="37">
        <f t="shared" si="3"/>
        <v>128</v>
      </c>
      <c r="K129" s="31" t="e">
        <f>SMALL('OPERACIONES DE FORMULAS'!$D$5:$D$35,ROW()-1)</f>
        <v>#NUM!</v>
      </c>
    </row>
    <row r="130" spans="1:11" x14ac:dyDescent="0.25">
      <c r="A130" s="33" t="str">
        <f t="shared" si="2"/>
        <v>00</v>
      </c>
      <c r="B130" s="34">
        <f>INDEX(CANCIONES!C$5:C$2500,SMALL('OPERACIONES DE FORMULAS'!$D$5:$D$300,ROW()-1)-4)</f>
        <v>0</v>
      </c>
      <c r="C130" s="35">
        <f>INDEX(CANCIONES!D$5:D$2500,SMALL('OPERACIONES DE FORMULAS'!$D$5:$D$300,ROW()-1)-4)</f>
        <v>0</v>
      </c>
      <c r="D130" s="34">
        <f>INDEX(CANCIONES!E$5:E$2500,SMALL('OPERACIONES DE FORMULAS'!$D$5:$D$300,ROW()-1)-4)</f>
        <v>0</v>
      </c>
      <c r="E130" s="35">
        <f>INDEX(CANCIONES!F$5:F$2500,SMALL('OPERACIONES DE FORMULAS'!$D$5:$D$300,ROW()-1)-4)</f>
        <v>0</v>
      </c>
      <c r="F130" s="34">
        <f>INDEX(CANCIONES!G$5:G$2500,SMALL('OPERACIONES DE FORMULAS'!$D$5:$D$300,ROW()-1)-4)</f>
        <v>0</v>
      </c>
      <c r="G130" s="35">
        <f>INDEX(CANCIONES!H$5:H$2500,SMALL('OPERACIONES DE FORMULAS'!$D$5:$D$300,ROW()-1)-4)</f>
        <v>0</v>
      </c>
      <c r="H130" s="34">
        <f t="shared" si="3"/>
        <v>129</v>
      </c>
      <c r="K130" s="32" t="e">
        <f>SMALL('OPERACIONES DE FORMULAS'!$D$5:$D$35,ROW()-1)</f>
        <v>#NUM!</v>
      </c>
    </row>
    <row r="131" spans="1:11" x14ac:dyDescent="0.25">
      <c r="A131" s="36" t="str">
        <f t="shared" ref="A131:A194" si="4">$F131&amp;$G131</f>
        <v>00</v>
      </c>
      <c r="B131" s="37">
        <f>INDEX(CANCIONES!C$5:C$2500,SMALL('OPERACIONES DE FORMULAS'!$D$5:$D$300,ROW()-1)-4)</f>
        <v>0</v>
      </c>
      <c r="C131" s="36">
        <f>INDEX(CANCIONES!D$5:D$2500,SMALL('OPERACIONES DE FORMULAS'!$D$5:$D$300,ROW()-1)-4)</f>
        <v>0</v>
      </c>
      <c r="D131" s="37">
        <f>INDEX(CANCIONES!E$5:E$2500,SMALL('OPERACIONES DE FORMULAS'!$D$5:$D$300,ROW()-1)-4)</f>
        <v>0</v>
      </c>
      <c r="E131" s="36">
        <f>INDEX(CANCIONES!F$5:F$2500,SMALL('OPERACIONES DE FORMULAS'!$D$5:$D$300,ROW()-1)-4)</f>
        <v>0</v>
      </c>
      <c r="F131" s="37">
        <f>INDEX(CANCIONES!G$5:G$2500,SMALL('OPERACIONES DE FORMULAS'!$D$5:$D$300,ROW()-1)-4)</f>
        <v>0</v>
      </c>
      <c r="G131" s="36">
        <f>INDEX(CANCIONES!H$5:H$2500,SMALL('OPERACIONES DE FORMULAS'!$D$5:$D$300,ROW()-1)-4)</f>
        <v>0</v>
      </c>
      <c r="H131" s="37">
        <f t="shared" ref="H131:H194" si="5">ROW()-1</f>
        <v>130</v>
      </c>
      <c r="K131" s="31" t="e">
        <f>SMALL('OPERACIONES DE FORMULAS'!$D$5:$D$35,ROW()-1)</f>
        <v>#NUM!</v>
      </c>
    </row>
    <row r="132" spans="1:11" x14ac:dyDescent="0.25">
      <c r="A132" s="33" t="str">
        <f t="shared" si="4"/>
        <v>00</v>
      </c>
      <c r="B132" s="34">
        <f>INDEX(CANCIONES!C$5:C$2500,SMALL('OPERACIONES DE FORMULAS'!$D$5:$D$300,ROW()-1)-4)</f>
        <v>0</v>
      </c>
      <c r="C132" s="35">
        <f>INDEX(CANCIONES!D$5:D$2500,SMALL('OPERACIONES DE FORMULAS'!$D$5:$D$300,ROW()-1)-4)</f>
        <v>0</v>
      </c>
      <c r="D132" s="34">
        <f>INDEX(CANCIONES!E$5:E$2500,SMALL('OPERACIONES DE FORMULAS'!$D$5:$D$300,ROW()-1)-4)</f>
        <v>0</v>
      </c>
      <c r="E132" s="35">
        <f>INDEX(CANCIONES!F$5:F$2500,SMALL('OPERACIONES DE FORMULAS'!$D$5:$D$300,ROW()-1)-4)</f>
        <v>0</v>
      </c>
      <c r="F132" s="34">
        <f>INDEX(CANCIONES!G$5:G$2500,SMALL('OPERACIONES DE FORMULAS'!$D$5:$D$300,ROW()-1)-4)</f>
        <v>0</v>
      </c>
      <c r="G132" s="35">
        <f>INDEX(CANCIONES!H$5:H$2500,SMALL('OPERACIONES DE FORMULAS'!$D$5:$D$300,ROW()-1)-4)</f>
        <v>0</v>
      </c>
      <c r="H132" s="34">
        <f t="shared" si="5"/>
        <v>131</v>
      </c>
      <c r="K132" s="32" t="e">
        <f>SMALL('OPERACIONES DE FORMULAS'!$D$5:$D$35,ROW()-1)</f>
        <v>#NUM!</v>
      </c>
    </row>
    <row r="133" spans="1:11" x14ac:dyDescent="0.25">
      <c r="A133" s="36" t="str">
        <f t="shared" si="4"/>
        <v>00</v>
      </c>
      <c r="B133" s="37">
        <f>INDEX(CANCIONES!C$5:C$2500,SMALL('OPERACIONES DE FORMULAS'!$D$5:$D$300,ROW()-1)-4)</f>
        <v>0</v>
      </c>
      <c r="C133" s="36">
        <f>INDEX(CANCIONES!D$5:D$2500,SMALL('OPERACIONES DE FORMULAS'!$D$5:$D$300,ROW()-1)-4)</f>
        <v>0</v>
      </c>
      <c r="D133" s="37">
        <f>INDEX(CANCIONES!E$5:E$2500,SMALL('OPERACIONES DE FORMULAS'!$D$5:$D$300,ROW()-1)-4)</f>
        <v>0</v>
      </c>
      <c r="E133" s="36">
        <f>INDEX(CANCIONES!F$5:F$2500,SMALL('OPERACIONES DE FORMULAS'!$D$5:$D$300,ROW()-1)-4)</f>
        <v>0</v>
      </c>
      <c r="F133" s="37">
        <f>INDEX(CANCIONES!G$5:G$2500,SMALL('OPERACIONES DE FORMULAS'!$D$5:$D$300,ROW()-1)-4)</f>
        <v>0</v>
      </c>
      <c r="G133" s="36">
        <f>INDEX(CANCIONES!H$5:H$2500,SMALL('OPERACIONES DE FORMULAS'!$D$5:$D$300,ROW()-1)-4)</f>
        <v>0</v>
      </c>
      <c r="H133" s="37">
        <f t="shared" si="5"/>
        <v>132</v>
      </c>
      <c r="K133" s="31" t="e">
        <f>SMALL('OPERACIONES DE FORMULAS'!$D$5:$D$35,ROW()-1)</f>
        <v>#NUM!</v>
      </c>
    </row>
    <row r="134" spans="1:11" x14ac:dyDescent="0.25">
      <c r="A134" s="33" t="str">
        <f t="shared" si="4"/>
        <v>00</v>
      </c>
      <c r="B134" s="34">
        <f>INDEX(CANCIONES!C$5:C$2500,SMALL('OPERACIONES DE FORMULAS'!$D$5:$D$300,ROW()-1)-4)</f>
        <v>0</v>
      </c>
      <c r="C134" s="35">
        <f>INDEX(CANCIONES!D$5:D$2500,SMALL('OPERACIONES DE FORMULAS'!$D$5:$D$300,ROW()-1)-4)</f>
        <v>0</v>
      </c>
      <c r="D134" s="34">
        <f>INDEX(CANCIONES!E$5:E$2500,SMALL('OPERACIONES DE FORMULAS'!$D$5:$D$300,ROW()-1)-4)</f>
        <v>0</v>
      </c>
      <c r="E134" s="35">
        <f>INDEX(CANCIONES!F$5:F$2500,SMALL('OPERACIONES DE FORMULAS'!$D$5:$D$300,ROW()-1)-4)</f>
        <v>0</v>
      </c>
      <c r="F134" s="34">
        <f>INDEX(CANCIONES!G$5:G$2500,SMALL('OPERACIONES DE FORMULAS'!$D$5:$D$300,ROW()-1)-4)</f>
        <v>0</v>
      </c>
      <c r="G134" s="35">
        <f>INDEX(CANCIONES!H$5:H$2500,SMALL('OPERACIONES DE FORMULAS'!$D$5:$D$300,ROW()-1)-4)</f>
        <v>0</v>
      </c>
      <c r="H134" s="34">
        <f t="shared" si="5"/>
        <v>133</v>
      </c>
      <c r="K134" s="32" t="e">
        <f>SMALL('OPERACIONES DE FORMULAS'!$D$5:$D$35,ROW()-1)</f>
        <v>#NUM!</v>
      </c>
    </row>
    <row r="135" spans="1:11" x14ac:dyDescent="0.25">
      <c r="A135" s="36" t="str">
        <f t="shared" si="4"/>
        <v>00</v>
      </c>
      <c r="B135" s="37">
        <f>INDEX(CANCIONES!C$5:C$2500,SMALL('OPERACIONES DE FORMULAS'!$D$5:$D$300,ROW()-1)-4)</f>
        <v>0</v>
      </c>
      <c r="C135" s="36">
        <f>INDEX(CANCIONES!D$5:D$2500,SMALL('OPERACIONES DE FORMULAS'!$D$5:$D$300,ROW()-1)-4)</f>
        <v>0</v>
      </c>
      <c r="D135" s="37">
        <f>INDEX(CANCIONES!E$5:E$2500,SMALL('OPERACIONES DE FORMULAS'!$D$5:$D$300,ROW()-1)-4)</f>
        <v>0</v>
      </c>
      <c r="E135" s="36">
        <f>INDEX(CANCIONES!F$5:F$2500,SMALL('OPERACIONES DE FORMULAS'!$D$5:$D$300,ROW()-1)-4)</f>
        <v>0</v>
      </c>
      <c r="F135" s="37">
        <f>INDEX(CANCIONES!G$5:G$2500,SMALL('OPERACIONES DE FORMULAS'!$D$5:$D$300,ROW()-1)-4)</f>
        <v>0</v>
      </c>
      <c r="G135" s="36">
        <f>INDEX(CANCIONES!H$5:H$2500,SMALL('OPERACIONES DE FORMULAS'!$D$5:$D$300,ROW()-1)-4)</f>
        <v>0</v>
      </c>
      <c r="H135" s="37">
        <f t="shared" si="5"/>
        <v>134</v>
      </c>
      <c r="K135" s="31" t="e">
        <f>SMALL('OPERACIONES DE FORMULAS'!$D$5:$D$35,ROW()-1)</f>
        <v>#NUM!</v>
      </c>
    </row>
    <row r="136" spans="1:11" x14ac:dyDescent="0.25">
      <c r="A136" s="33" t="str">
        <f t="shared" si="4"/>
        <v>00</v>
      </c>
      <c r="B136" s="34">
        <f>INDEX(CANCIONES!C$5:C$2500,SMALL('OPERACIONES DE FORMULAS'!$D$5:$D$300,ROW()-1)-4)</f>
        <v>0</v>
      </c>
      <c r="C136" s="35">
        <f>INDEX(CANCIONES!D$5:D$2500,SMALL('OPERACIONES DE FORMULAS'!$D$5:$D$300,ROW()-1)-4)</f>
        <v>0</v>
      </c>
      <c r="D136" s="34">
        <f>INDEX(CANCIONES!E$5:E$2500,SMALL('OPERACIONES DE FORMULAS'!$D$5:$D$300,ROW()-1)-4)</f>
        <v>0</v>
      </c>
      <c r="E136" s="35">
        <f>INDEX(CANCIONES!F$5:F$2500,SMALL('OPERACIONES DE FORMULAS'!$D$5:$D$300,ROW()-1)-4)</f>
        <v>0</v>
      </c>
      <c r="F136" s="34">
        <f>INDEX(CANCIONES!G$5:G$2500,SMALL('OPERACIONES DE FORMULAS'!$D$5:$D$300,ROW()-1)-4)</f>
        <v>0</v>
      </c>
      <c r="G136" s="35">
        <f>INDEX(CANCIONES!H$5:H$2500,SMALL('OPERACIONES DE FORMULAS'!$D$5:$D$300,ROW()-1)-4)</f>
        <v>0</v>
      </c>
      <c r="H136" s="34">
        <f t="shared" si="5"/>
        <v>135</v>
      </c>
      <c r="K136" s="32" t="e">
        <f>SMALL('OPERACIONES DE FORMULAS'!$D$5:$D$35,ROW()-1)</f>
        <v>#NUM!</v>
      </c>
    </row>
    <row r="137" spans="1:11" x14ac:dyDescent="0.25">
      <c r="A137" s="36" t="str">
        <f t="shared" si="4"/>
        <v>00</v>
      </c>
      <c r="B137" s="37">
        <f>INDEX(CANCIONES!C$5:C$2500,SMALL('OPERACIONES DE FORMULAS'!$D$5:$D$300,ROW()-1)-4)</f>
        <v>0</v>
      </c>
      <c r="C137" s="36">
        <f>INDEX(CANCIONES!D$5:D$2500,SMALL('OPERACIONES DE FORMULAS'!$D$5:$D$300,ROW()-1)-4)</f>
        <v>0</v>
      </c>
      <c r="D137" s="37">
        <f>INDEX(CANCIONES!E$5:E$2500,SMALL('OPERACIONES DE FORMULAS'!$D$5:$D$300,ROW()-1)-4)</f>
        <v>0</v>
      </c>
      <c r="E137" s="36">
        <f>INDEX(CANCIONES!F$5:F$2500,SMALL('OPERACIONES DE FORMULAS'!$D$5:$D$300,ROW()-1)-4)</f>
        <v>0</v>
      </c>
      <c r="F137" s="37">
        <f>INDEX(CANCIONES!G$5:G$2500,SMALL('OPERACIONES DE FORMULAS'!$D$5:$D$300,ROW()-1)-4)</f>
        <v>0</v>
      </c>
      <c r="G137" s="36">
        <f>INDEX(CANCIONES!H$5:H$2500,SMALL('OPERACIONES DE FORMULAS'!$D$5:$D$300,ROW()-1)-4)</f>
        <v>0</v>
      </c>
      <c r="H137" s="37">
        <f t="shared" si="5"/>
        <v>136</v>
      </c>
      <c r="K137" s="31" t="e">
        <f>SMALL('OPERACIONES DE FORMULAS'!$D$5:$D$35,ROW()-1)</f>
        <v>#NUM!</v>
      </c>
    </row>
    <row r="138" spans="1:11" x14ac:dyDescent="0.25">
      <c r="A138" s="33" t="str">
        <f t="shared" si="4"/>
        <v>00</v>
      </c>
      <c r="B138" s="34">
        <f>INDEX(CANCIONES!C$5:C$2500,SMALL('OPERACIONES DE FORMULAS'!$D$5:$D$300,ROW()-1)-4)</f>
        <v>0</v>
      </c>
      <c r="C138" s="35">
        <f>INDEX(CANCIONES!D$5:D$2500,SMALL('OPERACIONES DE FORMULAS'!$D$5:$D$300,ROW()-1)-4)</f>
        <v>0</v>
      </c>
      <c r="D138" s="34">
        <f>INDEX(CANCIONES!E$5:E$2500,SMALL('OPERACIONES DE FORMULAS'!$D$5:$D$300,ROW()-1)-4)</f>
        <v>0</v>
      </c>
      <c r="E138" s="35">
        <f>INDEX(CANCIONES!F$5:F$2500,SMALL('OPERACIONES DE FORMULAS'!$D$5:$D$300,ROW()-1)-4)</f>
        <v>0</v>
      </c>
      <c r="F138" s="34">
        <f>INDEX(CANCIONES!G$5:G$2500,SMALL('OPERACIONES DE FORMULAS'!$D$5:$D$300,ROW()-1)-4)</f>
        <v>0</v>
      </c>
      <c r="G138" s="35">
        <f>INDEX(CANCIONES!H$5:H$2500,SMALL('OPERACIONES DE FORMULAS'!$D$5:$D$300,ROW()-1)-4)</f>
        <v>0</v>
      </c>
      <c r="H138" s="34">
        <f t="shared" si="5"/>
        <v>137</v>
      </c>
      <c r="K138" s="32" t="e">
        <f>SMALL('OPERACIONES DE FORMULAS'!$D$5:$D$35,ROW()-1)</f>
        <v>#NUM!</v>
      </c>
    </row>
    <row r="139" spans="1:11" x14ac:dyDescent="0.25">
      <c r="A139" s="36" t="str">
        <f t="shared" si="4"/>
        <v>00</v>
      </c>
      <c r="B139" s="37">
        <f>INDEX(CANCIONES!C$5:C$2500,SMALL('OPERACIONES DE FORMULAS'!$D$5:$D$300,ROW()-1)-4)</f>
        <v>0</v>
      </c>
      <c r="C139" s="36">
        <f>INDEX(CANCIONES!D$5:D$2500,SMALL('OPERACIONES DE FORMULAS'!$D$5:$D$300,ROW()-1)-4)</f>
        <v>0</v>
      </c>
      <c r="D139" s="37">
        <f>INDEX(CANCIONES!E$5:E$2500,SMALL('OPERACIONES DE FORMULAS'!$D$5:$D$300,ROW()-1)-4)</f>
        <v>0</v>
      </c>
      <c r="E139" s="36">
        <f>INDEX(CANCIONES!F$5:F$2500,SMALL('OPERACIONES DE FORMULAS'!$D$5:$D$300,ROW()-1)-4)</f>
        <v>0</v>
      </c>
      <c r="F139" s="37">
        <f>INDEX(CANCIONES!G$5:G$2500,SMALL('OPERACIONES DE FORMULAS'!$D$5:$D$300,ROW()-1)-4)</f>
        <v>0</v>
      </c>
      <c r="G139" s="36">
        <f>INDEX(CANCIONES!H$5:H$2500,SMALL('OPERACIONES DE FORMULAS'!$D$5:$D$300,ROW()-1)-4)</f>
        <v>0</v>
      </c>
      <c r="H139" s="37">
        <f t="shared" si="5"/>
        <v>138</v>
      </c>
      <c r="K139" s="31" t="e">
        <f>SMALL('OPERACIONES DE FORMULAS'!$D$5:$D$35,ROW()-1)</f>
        <v>#NUM!</v>
      </c>
    </row>
    <row r="140" spans="1:11" x14ac:dyDescent="0.25">
      <c r="A140" s="33" t="str">
        <f t="shared" si="4"/>
        <v>00</v>
      </c>
      <c r="B140" s="34">
        <f>INDEX(CANCIONES!C$5:C$2500,SMALL('OPERACIONES DE FORMULAS'!$D$5:$D$300,ROW()-1)-4)</f>
        <v>0</v>
      </c>
      <c r="C140" s="35">
        <f>INDEX(CANCIONES!D$5:D$2500,SMALL('OPERACIONES DE FORMULAS'!$D$5:$D$300,ROW()-1)-4)</f>
        <v>0</v>
      </c>
      <c r="D140" s="34">
        <f>INDEX(CANCIONES!E$5:E$2500,SMALL('OPERACIONES DE FORMULAS'!$D$5:$D$300,ROW()-1)-4)</f>
        <v>0</v>
      </c>
      <c r="E140" s="35">
        <f>INDEX(CANCIONES!F$5:F$2500,SMALL('OPERACIONES DE FORMULAS'!$D$5:$D$300,ROW()-1)-4)</f>
        <v>0</v>
      </c>
      <c r="F140" s="34">
        <f>INDEX(CANCIONES!G$5:G$2500,SMALL('OPERACIONES DE FORMULAS'!$D$5:$D$300,ROW()-1)-4)</f>
        <v>0</v>
      </c>
      <c r="G140" s="35">
        <f>INDEX(CANCIONES!H$5:H$2500,SMALL('OPERACIONES DE FORMULAS'!$D$5:$D$300,ROW()-1)-4)</f>
        <v>0</v>
      </c>
      <c r="H140" s="34">
        <f t="shared" si="5"/>
        <v>139</v>
      </c>
      <c r="K140" s="32" t="e">
        <f>SMALL('OPERACIONES DE FORMULAS'!$D$5:$D$35,ROW()-1)</f>
        <v>#NUM!</v>
      </c>
    </row>
    <row r="141" spans="1:11" x14ac:dyDescent="0.25">
      <c r="A141" s="36" t="str">
        <f t="shared" si="4"/>
        <v>00</v>
      </c>
      <c r="B141" s="37">
        <f>INDEX(CANCIONES!C$5:C$2500,SMALL('OPERACIONES DE FORMULAS'!$D$5:$D$300,ROW()-1)-4)</f>
        <v>0</v>
      </c>
      <c r="C141" s="36">
        <f>INDEX(CANCIONES!D$5:D$2500,SMALL('OPERACIONES DE FORMULAS'!$D$5:$D$300,ROW()-1)-4)</f>
        <v>0</v>
      </c>
      <c r="D141" s="37">
        <f>INDEX(CANCIONES!E$5:E$2500,SMALL('OPERACIONES DE FORMULAS'!$D$5:$D$300,ROW()-1)-4)</f>
        <v>0</v>
      </c>
      <c r="E141" s="36">
        <f>INDEX(CANCIONES!F$5:F$2500,SMALL('OPERACIONES DE FORMULAS'!$D$5:$D$300,ROW()-1)-4)</f>
        <v>0</v>
      </c>
      <c r="F141" s="37">
        <f>INDEX(CANCIONES!G$5:G$2500,SMALL('OPERACIONES DE FORMULAS'!$D$5:$D$300,ROW()-1)-4)</f>
        <v>0</v>
      </c>
      <c r="G141" s="36">
        <f>INDEX(CANCIONES!H$5:H$2500,SMALL('OPERACIONES DE FORMULAS'!$D$5:$D$300,ROW()-1)-4)</f>
        <v>0</v>
      </c>
      <c r="H141" s="37">
        <f t="shared" si="5"/>
        <v>140</v>
      </c>
      <c r="K141" s="31" t="e">
        <f>SMALL('OPERACIONES DE FORMULAS'!$D$5:$D$35,ROW()-1)</f>
        <v>#NUM!</v>
      </c>
    </row>
    <row r="142" spans="1:11" x14ac:dyDescent="0.25">
      <c r="A142" s="33" t="str">
        <f t="shared" si="4"/>
        <v>00</v>
      </c>
      <c r="B142" s="34">
        <f>INDEX(CANCIONES!C$5:C$2500,SMALL('OPERACIONES DE FORMULAS'!$D$5:$D$300,ROW()-1)-4)</f>
        <v>0</v>
      </c>
      <c r="C142" s="35">
        <f>INDEX(CANCIONES!D$5:D$2500,SMALL('OPERACIONES DE FORMULAS'!$D$5:$D$300,ROW()-1)-4)</f>
        <v>0</v>
      </c>
      <c r="D142" s="34">
        <f>INDEX(CANCIONES!E$5:E$2500,SMALL('OPERACIONES DE FORMULAS'!$D$5:$D$300,ROW()-1)-4)</f>
        <v>0</v>
      </c>
      <c r="E142" s="35">
        <f>INDEX(CANCIONES!F$5:F$2500,SMALL('OPERACIONES DE FORMULAS'!$D$5:$D$300,ROW()-1)-4)</f>
        <v>0</v>
      </c>
      <c r="F142" s="34">
        <f>INDEX(CANCIONES!G$5:G$2500,SMALL('OPERACIONES DE FORMULAS'!$D$5:$D$300,ROW()-1)-4)</f>
        <v>0</v>
      </c>
      <c r="G142" s="35">
        <f>INDEX(CANCIONES!H$5:H$2500,SMALL('OPERACIONES DE FORMULAS'!$D$5:$D$300,ROW()-1)-4)</f>
        <v>0</v>
      </c>
      <c r="H142" s="34">
        <f t="shared" si="5"/>
        <v>141</v>
      </c>
      <c r="K142" s="32" t="e">
        <f>SMALL('OPERACIONES DE FORMULAS'!$D$5:$D$35,ROW()-1)</f>
        <v>#NUM!</v>
      </c>
    </row>
    <row r="143" spans="1:11" x14ac:dyDescent="0.25">
      <c r="A143" s="36" t="str">
        <f t="shared" si="4"/>
        <v>00</v>
      </c>
      <c r="B143" s="37">
        <f>INDEX(CANCIONES!C$5:C$2500,SMALL('OPERACIONES DE FORMULAS'!$D$5:$D$300,ROW()-1)-4)</f>
        <v>0</v>
      </c>
      <c r="C143" s="36">
        <f>INDEX(CANCIONES!D$5:D$2500,SMALL('OPERACIONES DE FORMULAS'!$D$5:$D$300,ROW()-1)-4)</f>
        <v>0</v>
      </c>
      <c r="D143" s="37">
        <f>INDEX(CANCIONES!E$5:E$2500,SMALL('OPERACIONES DE FORMULAS'!$D$5:$D$300,ROW()-1)-4)</f>
        <v>0</v>
      </c>
      <c r="E143" s="36">
        <f>INDEX(CANCIONES!F$5:F$2500,SMALL('OPERACIONES DE FORMULAS'!$D$5:$D$300,ROW()-1)-4)</f>
        <v>0</v>
      </c>
      <c r="F143" s="37">
        <f>INDEX(CANCIONES!G$5:G$2500,SMALL('OPERACIONES DE FORMULAS'!$D$5:$D$300,ROW()-1)-4)</f>
        <v>0</v>
      </c>
      <c r="G143" s="36">
        <f>INDEX(CANCIONES!H$5:H$2500,SMALL('OPERACIONES DE FORMULAS'!$D$5:$D$300,ROW()-1)-4)</f>
        <v>0</v>
      </c>
      <c r="H143" s="37">
        <f t="shared" si="5"/>
        <v>142</v>
      </c>
      <c r="K143" s="31" t="e">
        <f>SMALL('OPERACIONES DE FORMULAS'!$D$5:$D$35,ROW()-1)</f>
        <v>#NUM!</v>
      </c>
    </row>
    <row r="144" spans="1:11" x14ac:dyDescent="0.25">
      <c r="A144" s="33" t="str">
        <f t="shared" si="4"/>
        <v>00</v>
      </c>
      <c r="B144" s="34">
        <f>INDEX(CANCIONES!C$5:C$2500,SMALL('OPERACIONES DE FORMULAS'!$D$5:$D$300,ROW()-1)-4)</f>
        <v>0</v>
      </c>
      <c r="C144" s="35">
        <f>INDEX(CANCIONES!D$5:D$2500,SMALL('OPERACIONES DE FORMULAS'!$D$5:$D$300,ROW()-1)-4)</f>
        <v>0</v>
      </c>
      <c r="D144" s="34">
        <f>INDEX(CANCIONES!E$5:E$2500,SMALL('OPERACIONES DE FORMULAS'!$D$5:$D$300,ROW()-1)-4)</f>
        <v>0</v>
      </c>
      <c r="E144" s="35">
        <f>INDEX(CANCIONES!F$5:F$2500,SMALL('OPERACIONES DE FORMULAS'!$D$5:$D$300,ROW()-1)-4)</f>
        <v>0</v>
      </c>
      <c r="F144" s="34">
        <f>INDEX(CANCIONES!G$5:G$2500,SMALL('OPERACIONES DE FORMULAS'!$D$5:$D$300,ROW()-1)-4)</f>
        <v>0</v>
      </c>
      <c r="G144" s="35">
        <f>INDEX(CANCIONES!H$5:H$2500,SMALL('OPERACIONES DE FORMULAS'!$D$5:$D$300,ROW()-1)-4)</f>
        <v>0</v>
      </c>
      <c r="H144" s="34">
        <f t="shared" si="5"/>
        <v>143</v>
      </c>
      <c r="K144" s="32" t="e">
        <f>SMALL('OPERACIONES DE FORMULAS'!$D$5:$D$35,ROW()-1)</f>
        <v>#NUM!</v>
      </c>
    </row>
    <row r="145" spans="1:11" x14ac:dyDescent="0.25">
      <c r="A145" s="36" t="str">
        <f t="shared" si="4"/>
        <v>00</v>
      </c>
      <c r="B145" s="37">
        <f>INDEX(CANCIONES!C$5:C$2500,SMALL('OPERACIONES DE FORMULAS'!$D$5:$D$300,ROW()-1)-4)</f>
        <v>0</v>
      </c>
      <c r="C145" s="36">
        <f>INDEX(CANCIONES!D$5:D$2500,SMALL('OPERACIONES DE FORMULAS'!$D$5:$D$300,ROW()-1)-4)</f>
        <v>0</v>
      </c>
      <c r="D145" s="37">
        <f>INDEX(CANCIONES!E$5:E$2500,SMALL('OPERACIONES DE FORMULAS'!$D$5:$D$300,ROW()-1)-4)</f>
        <v>0</v>
      </c>
      <c r="E145" s="36">
        <f>INDEX(CANCIONES!F$5:F$2500,SMALL('OPERACIONES DE FORMULAS'!$D$5:$D$300,ROW()-1)-4)</f>
        <v>0</v>
      </c>
      <c r="F145" s="37">
        <f>INDEX(CANCIONES!G$5:G$2500,SMALL('OPERACIONES DE FORMULAS'!$D$5:$D$300,ROW()-1)-4)</f>
        <v>0</v>
      </c>
      <c r="G145" s="36">
        <f>INDEX(CANCIONES!H$5:H$2500,SMALL('OPERACIONES DE FORMULAS'!$D$5:$D$300,ROW()-1)-4)</f>
        <v>0</v>
      </c>
      <c r="H145" s="37">
        <f t="shared" si="5"/>
        <v>144</v>
      </c>
      <c r="K145" s="31" t="e">
        <f>SMALL('OPERACIONES DE FORMULAS'!$D$5:$D$35,ROW()-1)</f>
        <v>#NUM!</v>
      </c>
    </row>
    <row r="146" spans="1:11" x14ac:dyDescent="0.25">
      <c r="A146" s="33" t="str">
        <f t="shared" si="4"/>
        <v>00</v>
      </c>
      <c r="B146" s="34">
        <f>INDEX(CANCIONES!C$5:C$2500,SMALL('OPERACIONES DE FORMULAS'!$D$5:$D$300,ROW()-1)-4)</f>
        <v>0</v>
      </c>
      <c r="C146" s="35">
        <f>INDEX(CANCIONES!D$5:D$2500,SMALL('OPERACIONES DE FORMULAS'!$D$5:$D$300,ROW()-1)-4)</f>
        <v>0</v>
      </c>
      <c r="D146" s="34">
        <f>INDEX(CANCIONES!E$5:E$2500,SMALL('OPERACIONES DE FORMULAS'!$D$5:$D$300,ROW()-1)-4)</f>
        <v>0</v>
      </c>
      <c r="E146" s="35">
        <f>INDEX(CANCIONES!F$5:F$2500,SMALL('OPERACIONES DE FORMULAS'!$D$5:$D$300,ROW()-1)-4)</f>
        <v>0</v>
      </c>
      <c r="F146" s="34">
        <f>INDEX(CANCIONES!G$5:G$2500,SMALL('OPERACIONES DE FORMULAS'!$D$5:$D$300,ROW()-1)-4)</f>
        <v>0</v>
      </c>
      <c r="G146" s="35">
        <f>INDEX(CANCIONES!H$5:H$2500,SMALL('OPERACIONES DE FORMULAS'!$D$5:$D$300,ROW()-1)-4)</f>
        <v>0</v>
      </c>
      <c r="H146" s="34">
        <f t="shared" si="5"/>
        <v>145</v>
      </c>
      <c r="K146" s="32" t="e">
        <f>SMALL('OPERACIONES DE FORMULAS'!$D$5:$D$35,ROW()-1)</f>
        <v>#NUM!</v>
      </c>
    </row>
    <row r="147" spans="1:11" x14ac:dyDescent="0.25">
      <c r="A147" s="36" t="str">
        <f t="shared" si="4"/>
        <v>00</v>
      </c>
      <c r="B147" s="37">
        <f>INDEX(CANCIONES!C$5:C$2500,SMALL('OPERACIONES DE FORMULAS'!$D$5:$D$300,ROW()-1)-4)</f>
        <v>0</v>
      </c>
      <c r="C147" s="36">
        <f>INDEX(CANCIONES!D$5:D$2500,SMALL('OPERACIONES DE FORMULAS'!$D$5:$D$300,ROW()-1)-4)</f>
        <v>0</v>
      </c>
      <c r="D147" s="37">
        <f>INDEX(CANCIONES!E$5:E$2500,SMALL('OPERACIONES DE FORMULAS'!$D$5:$D$300,ROW()-1)-4)</f>
        <v>0</v>
      </c>
      <c r="E147" s="36">
        <f>INDEX(CANCIONES!F$5:F$2500,SMALL('OPERACIONES DE FORMULAS'!$D$5:$D$300,ROW()-1)-4)</f>
        <v>0</v>
      </c>
      <c r="F147" s="37">
        <f>INDEX(CANCIONES!G$5:G$2500,SMALL('OPERACIONES DE FORMULAS'!$D$5:$D$300,ROW()-1)-4)</f>
        <v>0</v>
      </c>
      <c r="G147" s="36">
        <f>INDEX(CANCIONES!H$5:H$2500,SMALL('OPERACIONES DE FORMULAS'!$D$5:$D$300,ROW()-1)-4)</f>
        <v>0</v>
      </c>
      <c r="H147" s="37">
        <f t="shared" si="5"/>
        <v>146</v>
      </c>
      <c r="K147" s="31" t="e">
        <f>SMALL('OPERACIONES DE FORMULAS'!$D$5:$D$35,ROW()-1)</f>
        <v>#NUM!</v>
      </c>
    </row>
    <row r="148" spans="1:11" x14ac:dyDescent="0.25">
      <c r="A148" s="33" t="str">
        <f t="shared" si="4"/>
        <v>00</v>
      </c>
      <c r="B148" s="34">
        <f>INDEX(CANCIONES!C$5:C$2500,SMALL('OPERACIONES DE FORMULAS'!$D$5:$D$300,ROW()-1)-4)</f>
        <v>0</v>
      </c>
      <c r="C148" s="35">
        <f>INDEX(CANCIONES!D$5:D$2500,SMALL('OPERACIONES DE FORMULAS'!$D$5:$D$300,ROW()-1)-4)</f>
        <v>0</v>
      </c>
      <c r="D148" s="34">
        <f>INDEX(CANCIONES!E$5:E$2500,SMALL('OPERACIONES DE FORMULAS'!$D$5:$D$300,ROW()-1)-4)</f>
        <v>0</v>
      </c>
      <c r="E148" s="35">
        <f>INDEX(CANCIONES!F$5:F$2500,SMALL('OPERACIONES DE FORMULAS'!$D$5:$D$300,ROW()-1)-4)</f>
        <v>0</v>
      </c>
      <c r="F148" s="34">
        <f>INDEX(CANCIONES!G$5:G$2500,SMALL('OPERACIONES DE FORMULAS'!$D$5:$D$300,ROW()-1)-4)</f>
        <v>0</v>
      </c>
      <c r="G148" s="35">
        <f>INDEX(CANCIONES!H$5:H$2500,SMALL('OPERACIONES DE FORMULAS'!$D$5:$D$300,ROW()-1)-4)</f>
        <v>0</v>
      </c>
      <c r="H148" s="34">
        <f t="shared" si="5"/>
        <v>147</v>
      </c>
      <c r="K148" s="32" t="e">
        <f>SMALL('OPERACIONES DE FORMULAS'!$D$5:$D$35,ROW()-1)</f>
        <v>#NUM!</v>
      </c>
    </row>
    <row r="149" spans="1:11" x14ac:dyDescent="0.25">
      <c r="A149" s="36" t="str">
        <f t="shared" si="4"/>
        <v>00</v>
      </c>
      <c r="B149" s="37">
        <f>INDEX(CANCIONES!C$5:C$2500,SMALL('OPERACIONES DE FORMULAS'!$D$5:$D$300,ROW()-1)-4)</f>
        <v>0</v>
      </c>
      <c r="C149" s="36">
        <f>INDEX(CANCIONES!D$5:D$2500,SMALL('OPERACIONES DE FORMULAS'!$D$5:$D$300,ROW()-1)-4)</f>
        <v>0</v>
      </c>
      <c r="D149" s="37">
        <f>INDEX(CANCIONES!E$5:E$2500,SMALL('OPERACIONES DE FORMULAS'!$D$5:$D$300,ROW()-1)-4)</f>
        <v>0</v>
      </c>
      <c r="E149" s="36">
        <f>INDEX(CANCIONES!F$5:F$2500,SMALL('OPERACIONES DE FORMULAS'!$D$5:$D$300,ROW()-1)-4)</f>
        <v>0</v>
      </c>
      <c r="F149" s="37">
        <f>INDEX(CANCIONES!G$5:G$2500,SMALL('OPERACIONES DE FORMULAS'!$D$5:$D$300,ROW()-1)-4)</f>
        <v>0</v>
      </c>
      <c r="G149" s="36">
        <f>INDEX(CANCIONES!H$5:H$2500,SMALL('OPERACIONES DE FORMULAS'!$D$5:$D$300,ROW()-1)-4)</f>
        <v>0</v>
      </c>
      <c r="H149" s="37">
        <f t="shared" si="5"/>
        <v>148</v>
      </c>
      <c r="K149" s="31" t="e">
        <f>SMALL('OPERACIONES DE FORMULAS'!$D$5:$D$35,ROW()-1)</f>
        <v>#NUM!</v>
      </c>
    </row>
    <row r="150" spans="1:11" x14ac:dyDescent="0.25">
      <c r="A150" s="33" t="str">
        <f t="shared" si="4"/>
        <v>00</v>
      </c>
      <c r="B150" s="34">
        <f>INDEX(CANCIONES!C$5:C$2500,SMALL('OPERACIONES DE FORMULAS'!$D$5:$D$300,ROW()-1)-4)</f>
        <v>0</v>
      </c>
      <c r="C150" s="35">
        <f>INDEX(CANCIONES!D$5:D$2500,SMALL('OPERACIONES DE FORMULAS'!$D$5:$D$300,ROW()-1)-4)</f>
        <v>0</v>
      </c>
      <c r="D150" s="34">
        <f>INDEX(CANCIONES!E$5:E$2500,SMALL('OPERACIONES DE FORMULAS'!$D$5:$D$300,ROW()-1)-4)</f>
        <v>0</v>
      </c>
      <c r="E150" s="35">
        <f>INDEX(CANCIONES!F$5:F$2500,SMALL('OPERACIONES DE FORMULAS'!$D$5:$D$300,ROW()-1)-4)</f>
        <v>0</v>
      </c>
      <c r="F150" s="34">
        <f>INDEX(CANCIONES!G$5:G$2500,SMALL('OPERACIONES DE FORMULAS'!$D$5:$D$300,ROW()-1)-4)</f>
        <v>0</v>
      </c>
      <c r="G150" s="35">
        <f>INDEX(CANCIONES!H$5:H$2500,SMALL('OPERACIONES DE FORMULAS'!$D$5:$D$300,ROW()-1)-4)</f>
        <v>0</v>
      </c>
      <c r="H150" s="34">
        <f t="shared" si="5"/>
        <v>149</v>
      </c>
      <c r="K150" s="32" t="e">
        <f>SMALL('OPERACIONES DE FORMULAS'!$D$5:$D$35,ROW()-1)</f>
        <v>#NUM!</v>
      </c>
    </row>
    <row r="151" spans="1:11" x14ac:dyDescent="0.25">
      <c r="A151" s="36" t="str">
        <f t="shared" si="4"/>
        <v>00</v>
      </c>
      <c r="B151" s="37">
        <f>INDEX(CANCIONES!C$5:C$2500,SMALL('OPERACIONES DE FORMULAS'!$D$5:$D$300,ROW()-1)-4)</f>
        <v>0</v>
      </c>
      <c r="C151" s="36">
        <f>INDEX(CANCIONES!D$5:D$2500,SMALL('OPERACIONES DE FORMULAS'!$D$5:$D$300,ROW()-1)-4)</f>
        <v>0</v>
      </c>
      <c r="D151" s="37">
        <f>INDEX(CANCIONES!E$5:E$2500,SMALL('OPERACIONES DE FORMULAS'!$D$5:$D$300,ROW()-1)-4)</f>
        <v>0</v>
      </c>
      <c r="E151" s="36">
        <f>INDEX(CANCIONES!F$5:F$2500,SMALL('OPERACIONES DE FORMULAS'!$D$5:$D$300,ROW()-1)-4)</f>
        <v>0</v>
      </c>
      <c r="F151" s="37">
        <f>INDEX(CANCIONES!G$5:G$2500,SMALL('OPERACIONES DE FORMULAS'!$D$5:$D$300,ROW()-1)-4)</f>
        <v>0</v>
      </c>
      <c r="G151" s="36">
        <f>INDEX(CANCIONES!H$5:H$2500,SMALL('OPERACIONES DE FORMULAS'!$D$5:$D$300,ROW()-1)-4)</f>
        <v>0</v>
      </c>
      <c r="H151" s="37">
        <f t="shared" si="5"/>
        <v>150</v>
      </c>
      <c r="K151" s="31" t="e">
        <f>SMALL('OPERACIONES DE FORMULAS'!$D$5:$D$35,ROW()-1)</f>
        <v>#NUM!</v>
      </c>
    </row>
    <row r="152" spans="1:11" x14ac:dyDescent="0.25">
      <c r="A152" s="33" t="str">
        <f t="shared" si="4"/>
        <v>00</v>
      </c>
      <c r="B152" s="34">
        <f>INDEX(CANCIONES!C$5:C$2500,SMALL('OPERACIONES DE FORMULAS'!$D$5:$D$300,ROW()-1)-4)</f>
        <v>0</v>
      </c>
      <c r="C152" s="35">
        <f>INDEX(CANCIONES!D$5:D$2500,SMALL('OPERACIONES DE FORMULAS'!$D$5:$D$300,ROW()-1)-4)</f>
        <v>0</v>
      </c>
      <c r="D152" s="34">
        <f>INDEX(CANCIONES!E$5:E$2500,SMALL('OPERACIONES DE FORMULAS'!$D$5:$D$300,ROW()-1)-4)</f>
        <v>0</v>
      </c>
      <c r="E152" s="35">
        <f>INDEX(CANCIONES!F$5:F$2500,SMALL('OPERACIONES DE FORMULAS'!$D$5:$D$300,ROW()-1)-4)</f>
        <v>0</v>
      </c>
      <c r="F152" s="34">
        <f>INDEX(CANCIONES!G$5:G$2500,SMALL('OPERACIONES DE FORMULAS'!$D$5:$D$300,ROW()-1)-4)</f>
        <v>0</v>
      </c>
      <c r="G152" s="35">
        <f>INDEX(CANCIONES!H$5:H$2500,SMALL('OPERACIONES DE FORMULAS'!$D$5:$D$300,ROW()-1)-4)</f>
        <v>0</v>
      </c>
      <c r="H152" s="34">
        <f t="shared" si="5"/>
        <v>151</v>
      </c>
      <c r="K152" s="32" t="e">
        <f>SMALL('OPERACIONES DE FORMULAS'!$D$5:$D$35,ROW()-1)</f>
        <v>#NUM!</v>
      </c>
    </row>
    <row r="153" spans="1:11" x14ac:dyDescent="0.25">
      <c r="A153" s="36" t="str">
        <f t="shared" si="4"/>
        <v>00</v>
      </c>
      <c r="B153" s="37">
        <f>INDEX(CANCIONES!C$5:C$2500,SMALL('OPERACIONES DE FORMULAS'!$D$5:$D$300,ROW()-1)-4)</f>
        <v>0</v>
      </c>
      <c r="C153" s="36">
        <f>INDEX(CANCIONES!D$5:D$2500,SMALL('OPERACIONES DE FORMULAS'!$D$5:$D$300,ROW()-1)-4)</f>
        <v>0</v>
      </c>
      <c r="D153" s="37">
        <f>INDEX(CANCIONES!E$5:E$2500,SMALL('OPERACIONES DE FORMULAS'!$D$5:$D$300,ROW()-1)-4)</f>
        <v>0</v>
      </c>
      <c r="E153" s="36">
        <f>INDEX(CANCIONES!F$5:F$2500,SMALL('OPERACIONES DE FORMULAS'!$D$5:$D$300,ROW()-1)-4)</f>
        <v>0</v>
      </c>
      <c r="F153" s="37">
        <f>INDEX(CANCIONES!G$5:G$2500,SMALL('OPERACIONES DE FORMULAS'!$D$5:$D$300,ROW()-1)-4)</f>
        <v>0</v>
      </c>
      <c r="G153" s="36">
        <f>INDEX(CANCIONES!H$5:H$2500,SMALL('OPERACIONES DE FORMULAS'!$D$5:$D$300,ROW()-1)-4)</f>
        <v>0</v>
      </c>
      <c r="H153" s="37">
        <f t="shared" si="5"/>
        <v>152</v>
      </c>
      <c r="K153" s="31" t="e">
        <f>SMALL('OPERACIONES DE FORMULAS'!$D$5:$D$35,ROW()-1)</f>
        <v>#NUM!</v>
      </c>
    </row>
    <row r="154" spans="1:11" x14ac:dyDescent="0.25">
      <c r="A154" s="33" t="str">
        <f t="shared" si="4"/>
        <v>00</v>
      </c>
      <c r="B154" s="34">
        <f>INDEX(CANCIONES!C$5:C$2500,SMALL('OPERACIONES DE FORMULAS'!$D$5:$D$300,ROW()-1)-4)</f>
        <v>0</v>
      </c>
      <c r="C154" s="35">
        <f>INDEX(CANCIONES!D$5:D$2500,SMALL('OPERACIONES DE FORMULAS'!$D$5:$D$300,ROW()-1)-4)</f>
        <v>0</v>
      </c>
      <c r="D154" s="34">
        <f>INDEX(CANCIONES!E$5:E$2500,SMALL('OPERACIONES DE FORMULAS'!$D$5:$D$300,ROW()-1)-4)</f>
        <v>0</v>
      </c>
      <c r="E154" s="35">
        <f>INDEX(CANCIONES!F$5:F$2500,SMALL('OPERACIONES DE FORMULAS'!$D$5:$D$300,ROW()-1)-4)</f>
        <v>0</v>
      </c>
      <c r="F154" s="34">
        <f>INDEX(CANCIONES!G$5:G$2500,SMALL('OPERACIONES DE FORMULAS'!$D$5:$D$300,ROW()-1)-4)</f>
        <v>0</v>
      </c>
      <c r="G154" s="35">
        <f>INDEX(CANCIONES!H$5:H$2500,SMALL('OPERACIONES DE FORMULAS'!$D$5:$D$300,ROW()-1)-4)</f>
        <v>0</v>
      </c>
      <c r="H154" s="34">
        <f t="shared" si="5"/>
        <v>153</v>
      </c>
      <c r="K154" s="32" t="e">
        <f>SMALL('OPERACIONES DE FORMULAS'!$D$5:$D$35,ROW()-1)</f>
        <v>#NUM!</v>
      </c>
    </row>
    <row r="155" spans="1:11" x14ac:dyDescent="0.25">
      <c r="A155" s="36" t="str">
        <f t="shared" si="4"/>
        <v>00</v>
      </c>
      <c r="B155" s="37">
        <f>INDEX(CANCIONES!C$5:C$2500,SMALL('OPERACIONES DE FORMULAS'!$D$5:$D$300,ROW()-1)-4)</f>
        <v>0</v>
      </c>
      <c r="C155" s="36">
        <f>INDEX(CANCIONES!D$5:D$2500,SMALL('OPERACIONES DE FORMULAS'!$D$5:$D$300,ROW()-1)-4)</f>
        <v>0</v>
      </c>
      <c r="D155" s="37">
        <f>INDEX(CANCIONES!E$5:E$2500,SMALL('OPERACIONES DE FORMULAS'!$D$5:$D$300,ROW()-1)-4)</f>
        <v>0</v>
      </c>
      <c r="E155" s="36">
        <f>INDEX(CANCIONES!F$5:F$2500,SMALL('OPERACIONES DE FORMULAS'!$D$5:$D$300,ROW()-1)-4)</f>
        <v>0</v>
      </c>
      <c r="F155" s="37">
        <f>INDEX(CANCIONES!G$5:G$2500,SMALL('OPERACIONES DE FORMULAS'!$D$5:$D$300,ROW()-1)-4)</f>
        <v>0</v>
      </c>
      <c r="G155" s="36">
        <f>INDEX(CANCIONES!H$5:H$2500,SMALL('OPERACIONES DE FORMULAS'!$D$5:$D$300,ROW()-1)-4)</f>
        <v>0</v>
      </c>
      <c r="H155" s="37">
        <f t="shared" si="5"/>
        <v>154</v>
      </c>
      <c r="K155" s="31" t="e">
        <f>SMALL('OPERACIONES DE FORMULAS'!$D$5:$D$35,ROW()-1)</f>
        <v>#NUM!</v>
      </c>
    </row>
    <row r="156" spans="1:11" x14ac:dyDescent="0.25">
      <c r="A156" s="33" t="str">
        <f t="shared" si="4"/>
        <v>00</v>
      </c>
      <c r="B156" s="34">
        <f>INDEX(CANCIONES!C$5:C$2500,SMALL('OPERACIONES DE FORMULAS'!$D$5:$D$300,ROW()-1)-4)</f>
        <v>0</v>
      </c>
      <c r="C156" s="35">
        <f>INDEX(CANCIONES!D$5:D$2500,SMALL('OPERACIONES DE FORMULAS'!$D$5:$D$300,ROW()-1)-4)</f>
        <v>0</v>
      </c>
      <c r="D156" s="34">
        <f>INDEX(CANCIONES!E$5:E$2500,SMALL('OPERACIONES DE FORMULAS'!$D$5:$D$300,ROW()-1)-4)</f>
        <v>0</v>
      </c>
      <c r="E156" s="35">
        <f>INDEX(CANCIONES!F$5:F$2500,SMALL('OPERACIONES DE FORMULAS'!$D$5:$D$300,ROW()-1)-4)</f>
        <v>0</v>
      </c>
      <c r="F156" s="34">
        <f>INDEX(CANCIONES!G$5:G$2500,SMALL('OPERACIONES DE FORMULAS'!$D$5:$D$300,ROW()-1)-4)</f>
        <v>0</v>
      </c>
      <c r="G156" s="35">
        <f>INDEX(CANCIONES!H$5:H$2500,SMALL('OPERACIONES DE FORMULAS'!$D$5:$D$300,ROW()-1)-4)</f>
        <v>0</v>
      </c>
      <c r="H156" s="34">
        <f t="shared" si="5"/>
        <v>155</v>
      </c>
      <c r="K156" s="32" t="e">
        <f>SMALL('OPERACIONES DE FORMULAS'!$D$5:$D$35,ROW()-1)</f>
        <v>#NUM!</v>
      </c>
    </row>
    <row r="157" spans="1:11" x14ac:dyDescent="0.25">
      <c r="A157" s="36" t="str">
        <f t="shared" si="4"/>
        <v>00</v>
      </c>
      <c r="B157" s="37">
        <f>INDEX(CANCIONES!C$5:C$2500,SMALL('OPERACIONES DE FORMULAS'!$D$5:$D$300,ROW()-1)-4)</f>
        <v>0</v>
      </c>
      <c r="C157" s="36">
        <f>INDEX(CANCIONES!D$5:D$2500,SMALL('OPERACIONES DE FORMULAS'!$D$5:$D$300,ROW()-1)-4)</f>
        <v>0</v>
      </c>
      <c r="D157" s="37">
        <f>INDEX(CANCIONES!E$5:E$2500,SMALL('OPERACIONES DE FORMULAS'!$D$5:$D$300,ROW()-1)-4)</f>
        <v>0</v>
      </c>
      <c r="E157" s="36">
        <f>INDEX(CANCIONES!F$5:F$2500,SMALL('OPERACIONES DE FORMULAS'!$D$5:$D$300,ROW()-1)-4)</f>
        <v>0</v>
      </c>
      <c r="F157" s="37">
        <f>INDEX(CANCIONES!G$5:G$2500,SMALL('OPERACIONES DE FORMULAS'!$D$5:$D$300,ROW()-1)-4)</f>
        <v>0</v>
      </c>
      <c r="G157" s="36">
        <f>INDEX(CANCIONES!H$5:H$2500,SMALL('OPERACIONES DE FORMULAS'!$D$5:$D$300,ROW()-1)-4)</f>
        <v>0</v>
      </c>
      <c r="H157" s="37">
        <f t="shared" si="5"/>
        <v>156</v>
      </c>
      <c r="K157" s="31" t="e">
        <f>SMALL('OPERACIONES DE FORMULAS'!$D$5:$D$35,ROW()-1)</f>
        <v>#NUM!</v>
      </c>
    </row>
    <row r="158" spans="1:11" x14ac:dyDescent="0.25">
      <c r="A158" s="33" t="str">
        <f t="shared" si="4"/>
        <v>00</v>
      </c>
      <c r="B158" s="34">
        <f>INDEX(CANCIONES!C$5:C$2500,SMALL('OPERACIONES DE FORMULAS'!$D$5:$D$300,ROW()-1)-4)</f>
        <v>0</v>
      </c>
      <c r="C158" s="35">
        <f>INDEX(CANCIONES!D$5:D$2500,SMALL('OPERACIONES DE FORMULAS'!$D$5:$D$300,ROW()-1)-4)</f>
        <v>0</v>
      </c>
      <c r="D158" s="34">
        <f>INDEX(CANCIONES!E$5:E$2500,SMALL('OPERACIONES DE FORMULAS'!$D$5:$D$300,ROW()-1)-4)</f>
        <v>0</v>
      </c>
      <c r="E158" s="35">
        <f>INDEX(CANCIONES!F$5:F$2500,SMALL('OPERACIONES DE FORMULAS'!$D$5:$D$300,ROW()-1)-4)</f>
        <v>0</v>
      </c>
      <c r="F158" s="34">
        <f>INDEX(CANCIONES!G$5:G$2500,SMALL('OPERACIONES DE FORMULAS'!$D$5:$D$300,ROW()-1)-4)</f>
        <v>0</v>
      </c>
      <c r="G158" s="35">
        <f>INDEX(CANCIONES!H$5:H$2500,SMALL('OPERACIONES DE FORMULAS'!$D$5:$D$300,ROW()-1)-4)</f>
        <v>0</v>
      </c>
      <c r="H158" s="34">
        <f t="shared" si="5"/>
        <v>157</v>
      </c>
      <c r="K158" s="32" t="e">
        <f>SMALL('OPERACIONES DE FORMULAS'!$D$5:$D$35,ROW()-1)</f>
        <v>#NUM!</v>
      </c>
    </row>
    <row r="159" spans="1:11" x14ac:dyDescent="0.25">
      <c r="A159" s="36" t="str">
        <f t="shared" si="4"/>
        <v>00</v>
      </c>
      <c r="B159" s="37">
        <f>INDEX(CANCIONES!C$5:C$2500,SMALL('OPERACIONES DE FORMULAS'!$D$5:$D$300,ROW()-1)-4)</f>
        <v>0</v>
      </c>
      <c r="C159" s="36">
        <f>INDEX(CANCIONES!D$5:D$2500,SMALL('OPERACIONES DE FORMULAS'!$D$5:$D$300,ROW()-1)-4)</f>
        <v>0</v>
      </c>
      <c r="D159" s="37">
        <f>INDEX(CANCIONES!E$5:E$2500,SMALL('OPERACIONES DE FORMULAS'!$D$5:$D$300,ROW()-1)-4)</f>
        <v>0</v>
      </c>
      <c r="E159" s="36">
        <f>INDEX(CANCIONES!F$5:F$2500,SMALL('OPERACIONES DE FORMULAS'!$D$5:$D$300,ROW()-1)-4)</f>
        <v>0</v>
      </c>
      <c r="F159" s="37">
        <f>INDEX(CANCIONES!G$5:G$2500,SMALL('OPERACIONES DE FORMULAS'!$D$5:$D$300,ROW()-1)-4)</f>
        <v>0</v>
      </c>
      <c r="G159" s="36">
        <f>INDEX(CANCIONES!H$5:H$2500,SMALL('OPERACIONES DE FORMULAS'!$D$5:$D$300,ROW()-1)-4)</f>
        <v>0</v>
      </c>
      <c r="H159" s="37">
        <f t="shared" si="5"/>
        <v>158</v>
      </c>
      <c r="K159" s="31" t="e">
        <f>SMALL('OPERACIONES DE FORMULAS'!$D$5:$D$35,ROW()-1)</f>
        <v>#NUM!</v>
      </c>
    </row>
    <row r="160" spans="1:11" x14ac:dyDescent="0.25">
      <c r="A160" s="33" t="str">
        <f t="shared" si="4"/>
        <v>00</v>
      </c>
      <c r="B160" s="34">
        <f>INDEX(CANCIONES!C$5:C$2500,SMALL('OPERACIONES DE FORMULAS'!$D$5:$D$300,ROW()-1)-4)</f>
        <v>0</v>
      </c>
      <c r="C160" s="35">
        <f>INDEX(CANCIONES!D$5:D$2500,SMALL('OPERACIONES DE FORMULAS'!$D$5:$D$300,ROW()-1)-4)</f>
        <v>0</v>
      </c>
      <c r="D160" s="34">
        <f>INDEX(CANCIONES!E$5:E$2500,SMALL('OPERACIONES DE FORMULAS'!$D$5:$D$300,ROW()-1)-4)</f>
        <v>0</v>
      </c>
      <c r="E160" s="35">
        <f>INDEX(CANCIONES!F$5:F$2500,SMALL('OPERACIONES DE FORMULAS'!$D$5:$D$300,ROW()-1)-4)</f>
        <v>0</v>
      </c>
      <c r="F160" s="34">
        <f>INDEX(CANCIONES!G$5:G$2500,SMALL('OPERACIONES DE FORMULAS'!$D$5:$D$300,ROW()-1)-4)</f>
        <v>0</v>
      </c>
      <c r="G160" s="35">
        <f>INDEX(CANCIONES!H$5:H$2500,SMALL('OPERACIONES DE FORMULAS'!$D$5:$D$300,ROW()-1)-4)</f>
        <v>0</v>
      </c>
      <c r="H160" s="34">
        <f t="shared" si="5"/>
        <v>159</v>
      </c>
      <c r="K160" s="32" t="e">
        <f>SMALL('OPERACIONES DE FORMULAS'!$D$5:$D$35,ROW()-1)</f>
        <v>#NUM!</v>
      </c>
    </row>
    <row r="161" spans="1:11" x14ac:dyDescent="0.25">
      <c r="A161" s="36" t="str">
        <f t="shared" si="4"/>
        <v>00</v>
      </c>
      <c r="B161" s="37">
        <f>INDEX(CANCIONES!C$5:C$2500,SMALL('OPERACIONES DE FORMULAS'!$D$5:$D$300,ROW()-1)-4)</f>
        <v>0</v>
      </c>
      <c r="C161" s="36">
        <f>INDEX(CANCIONES!D$5:D$2500,SMALL('OPERACIONES DE FORMULAS'!$D$5:$D$300,ROW()-1)-4)</f>
        <v>0</v>
      </c>
      <c r="D161" s="37">
        <f>INDEX(CANCIONES!E$5:E$2500,SMALL('OPERACIONES DE FORMULAS'!$D$5:$D$300,ROW()-1)-4)</f>
        <v>0</v>
      </c>
      <c r="E161" s="36">
        <f>INDEX(CANCIONES!F$5:F$2500,SMALL('OPERACIONES DE FORMULAS'!$D$5:$D$300,ROW()-1)-4)</f>
        <v>0</v>
      </c>
      <c r="F161" s="37">
        <f>INDEX(CANCIONES!G$5:G$2500,SMALL('OPERACIONES DE FORMULAS'!$D$5:$D$300,ROW()-1)-4)</f>
        <v>0</v>
      </c>
      <c r="G161" s="36">
        <f>INDEX(CANCIONES!H$5:H$2500,SMALL('OPERACIONES DE FORMULAS'!$D$5:$D$300,ROW()-1)-4)</f>
        <v>0</v>
      </c>
      <c r="H161" s="37">
        <f t="shared" si="5"/>
        <v>160</v>
      </c>
      <c r="K161" s="31" t="e">
        <f>SMALL('OPERACIONES DE FORMULAS'!$D$5:$D$35,ROW()-1)</f>
        <v>#NUM!</v>
      </c>
    </row>
    <row r="162" spans="1:11" x14ac:dyDescent="0.25">
      <c r="A162" s="33" t="str">
        <f t="shared" si="4"/>
        <v>00</v>
      </c>
      <c r="B162" s="34">
        <f>INDEX(CANCIONES!C$5:C$2500,SMALL('OPERACIONES DE FORMULAS'!$D$5:$D$300,ROW()-1)-4)</f>
        <v>0</v>
      </c>
      <c r="C162" s="35">
        <f>INDEX(CANCIONES!D$5:D$2500,SMALL('OPERACIONES DE FORMULAS'!$D$5:$D$300,ROW()-1)-4)</f>
        <v>0</v>
      </c>
      <c r="D162" s="34">
        <f>INDEX(CANCIONES!E$5:E$2500,SMALL('OPERACIONES DE FORMULAS'!$D$5:$D$300,ROW()-1)-4)</f>
        <v>0</v>
      </c>
      <c r="E162" s="35">
        <f>INDEX(CANCIONES!F$5:F$2500,SMALL('OPERACIONES DE FORMULAS'!$D$5:$D$300,ROW()-1)-4)</f>
        <v>0</v>
      </c>
      <c r="F162" s="34">
        <f>INDEX(CANCIONES!G$5:G$2500,SMALL('OPERACIONES DE FORMULAS'!$D$5:$D$300,ROW()-1)-4)</f>
        <v>0</v>
      </c>
      <c r="G162" s="35">
        <f>INDEX(CANCIONES!H$5:H$2500,SMALL('OPERACIONES DE FORMULAS'!$D$5:$D$300,ROW()-1)-4)</f>
        <v>0</v>
      </c>
      <c r="H162" s="34">
        <f t="shared" si="5"/>
        <v>161</v>
      </c>
      <c r="K162" s="32" t="e">
        <f>SMALL('OPERACIONES DE FORMULAS'!$D$5:$D$35,ROW()-1)</f>
        <v>#NUM!</v>
      </c>
    </row>
    <row r="163" spans="1:11" x14ac:dyDescent="0.25">
      <c r="A163" s="36" t="str">
        <f t="shared" si="4"/>
        <v>00</v>
      </c>
      <c r="B163" s="37">
        <f>INDEX(CANCIONES!C$5:C$2500,SMALL('OPERACIONES DE FORMULAS'!$D$5:$D$300,ROW()-1)-4)</f>
        <v>0</v>
      </c>
      <c r="C163" s="36">
        <f>INDEX(CANCIONES!D$5:D$2500,SMALL('OPERACIONES DE FORMULAS'!$D$5:$D$300,ROW()-1)-4)</f>
        <v>0</v>
      </c>
      <c r="D163" s="37">
        <f>INDEX(CANCIONES!E$5:E$2500,SMALL('OPERACIONES DE FORMULAS'!$D$5:$D$300,ROW()-1)-4)</f>
        <v>0</v>
      </c>
      <c r="E163" s="36">
        <f>INDEX(CANCIONES!F$5:F$2500,SMALL('OPERACIONES DE FORMULAS'!$D$5:$D$300,ROW()-1)-4)</f>
        <v>0</v>
      </c>
      <c r="F163" s="37">
        <f>INDEX(CANCIONES!G$5:G$2500,SMALL('OPERACIONES DE FORMULAS'!$D$5:$D$300,ROW()-1)-4)</f>
        <v>0</v>
      </c>
      <c r="G163" s="36">
        <f>INDEX(CANCIONES!H$5:H$2500,SMALL('OPERACIONES DE FORMULAS'!$D$5:$D$300,ROW()-1)-4)</f>
        <v>0</v>
      </c>
      <c r="H163" s="37">
        <f t="shared" si="5"/>
        <v>162</v>
      </c>
      <c r="K163" s="31" t="e">
        <f>SMALL('OPERACIONES DE FORMULAS'!$D$5:$D$35,ROW()-1)</f>
        <v>#NUM!</v>
      </c>
    </row>
    <row r="164" spans="1:11" x14ac:dyDescent="0.25">
      <c r="A164" s="33" t="str">
        <f t="shared" si="4"/>
        <v>00</v>
      </c>
      <c r="B164" s="34">
        <f>INDEX(CANCIONES!C$5:C$2500,SMALL('OPERACIONES DE FORMULAS'!$D$5:$D$300,ROW()-1)-4)</f>
        <v>0</v>
      </c>
      <c r="C164" s="35">
        <f>INDEX(CANCIONES!D$5:D$2500,SMALL('OPERACIONES DE FORMULAS'!$D$5:$D$300,ROW()-1)-4)</f>
        <v>0</v>
      </c>
      <c r="D164" s="34">
        <f>INDEX(CANCIONES!E$5:E$2500,SMALL('OPERACIONES DE FORMULAS'!$D$5:$D$300,ROW()-1)-4)</f>
        <v>0</v>
      </c>
      <c r="E164" s="35">
        <f>INDEX(CANCIONES!F$5:F$2500,SMALL('OPERACIONES DE FORMULAS'!$D$5:$D$300,ROW()-1)-4)</f>
        <v>0</v>
      </c>
      <c r="F164" s="34">
        <f>INDEX(CANCIONES!G$5:G$2500,SMALL('OPERACIONES DE FORMULAS'!$D$5:$D$300,ROW()-1)-4)</f>
        <v>0</v>
      </c>
      <c r="G164" s="35">
        <f>INDEX(CANCIONES!H$5:H$2500,SMALL('OPERACIONES DE FORMULAS'!$D$5:$D$300,ROW()-1)-4)</f>
        <v>0</v>
      </c>
      <c r="H164" s="34">
        <f t="shared" si="5"/>
        <v>163</v>
      </c>
      <c r="K164" s="32" t="e">
        <f>SMALL('OPERACIONES DE FORMULAS'!$D$5:$D$35,ROW()-1)</f>
        <v>#NUM!</v>
      </c>
    </row>
    <row r="165" spans="1:11" x14ac:dyDescent="0.25">
      <c r="A165" s="36" t="str">
        <f t="shared" si="4"/>
        <v>00</v>
      </c>
      <c r="B165" s="37">
        <f>INDEX(CANCIONES!C$5:C$2500,SMALL('OPERACIONES DE FORMULAS'!$D$5:$D$300,ROW()-1)-4)</f>
        <v>0</v>
      </c>
      <c r="C165" s="36">
        <f>INDEX(CANCIONES!D$5:D$2500,SMALL('OPERACIONES DE FORMULAS'!$D$5:$D$300,ROW()-1)-4)</f>
        <v>0</v>
      </c>
      <c r="D165" s="37">
        <f>INDEX(CANCIONES!E$5:E$2500,SMALL('OPERACIONES DE FORMULAS'!$D$5:$D$300,ROW()-1)-4)</f>
        <v>0</v>
      </c>
      <c r="E165" s="36">
        <f>INDEX(CANCIONES!F$5:F$2500,SMALL('OPERACIONES DE FORMULAS'!$D$5:$D$300,ROW()-1)-4)</f>
        <v>0</v>
      </c>
      <c r="F165" s="37">
        <f>INDEX(CANCIONES!G$5:G$2500,SMALL('OPERACIONES DE FORMULAS'!$D$5:$D$300,ROW()-1)-4)</f>
        <v>0</v>
      </c>
      <c r="G165" s="36">
        <f>INDEX(CANCIONES!H$5:H$2500,SMALL('OPERACIONES DE FORMULAS'!$D$5:$D$300,ROW()-1)-4)</f>
        <v>0</v>
      </c>
      <c r="H165" s="37">
        <f t="shared" si="5"/>
        <v>164</v>
      </c>
      <c r="K165" s="31" t="e">
        <f>SMALL('OPERACIONES DE FORMULAS'!$D$5:$D$35,ROW()-1)</f>
        <v>#NUM!</v>
      </c>
    </row>
    <row r="166" spans="1:11" x14ac:dyDescent="0.25">
      <c r="A166" s="33" t="str">
        <f t="shared" si="4"/>
        <v>00</v>
      </c>
      <c r="B166" s="34">
        <f>INDEX(CANCIONES!C$5:C$2500,SMALL('OPERACIONES DE FORMULAS'!$D$5:$D$300,ROW()-1)-4)</f>
        <v>0</v>
      </c>
      <c r="C166" s="35">
        <f>INDEX(CANCIONES!D$5:D$2500,SMALL('OPERACIONES DE FORMULAS'!$D$5:$D$300,ROW()-1)-4)</f>
        <v>0</v>
      </c>
      <c r="D166" s="34">
        <f>INDEX(CANCIONES!E$5:E$2500,SMALL('OPERACIONES DE FORMULAS'!$D$5:$D$300,ROW()-1)-4)</f>
        <v>0</v>
      </c>
      <c r="E166" s="35">
        <f>INDEX(CANCIONES!F$5:F$2500,SMALL('OPERACIONES DE FORMULAS'!$D$5:$D$300,ROW()-1)-4)</f>
        <v>0</v>
      </c>
      <c r="F166" s="34">
        <f>INDEX(CANCIONES!G$5:G$2500,SMALL('OPERACIONES DE FORMULAS'!$D$5:$D$300,ROW()-1)-4)</f>
        <v>0</v>
      </c>
      <c r="G166" s="35">
        <f>INDEX(CANCIONES!H$5:H$2500,SMALL('OPERACIONES DE FORMULAS'!$D$5:$D$300,ROW()-1)-4)</f>
        <v>0</v>
      </c>
      <c r="H166" s="34">
        <f t="shared" si="5"/>
        <v>165</v>
      </c>
      <c r="K166" s="32" t="e">
        <f>SMALL('OPERACIONES DE FORMULAS'!$D$5:$D$35,ROW()-1)</f>
        <v>#NUM!</v>
      </c>
    </row>
    <row r="167" spans="1:11" x14ac:dyDescent="0.25">
      <c r="A167" s="36" t="str">
        <f t="shared" si="4"/>
        <v>00</v>
      </c>
      <c r="B167" s="37">
        <f>INDEX(CANCIONES!C$5:C$2500,SMALL('OPERACIONES DE FORMULAS'!$D$5:$D$300,ROW()-1)-4)</f>
        <v>0</v>
      </c>
      <c r="C167" s="36">
        <f>INDEX(CANCIONES!D$5:D$2500,SMALL('OPERACIONES DE FORMULAS'!$D$5:$D$300,ROW()-1)-4)</f>
        <v>0</v>
      </c>
      <c r="D167" s="37">
        <f>INDEX(CANCIONES!E$5:E$2500,SMALL('OPERACIONES DE FORMULAS'!$D$5:$D$300,ROW()-1)-4)</f>
        <v>0</v>
      </c>
      <c r="E167" s="36">
        <f>INDEX(CANCIONES!F$5:F$2500,SMALL('OPERACIONES DE FORMULAS'!$D$5:$D$300,ROW()-1)-4)</f>
        <v>0</v>
      </c>
      <c r="F167" s="37">
        <f>INDEX(CANCIONES!G$5:G$2500,SMALL('OPERACIONES DE FORMULAS'!$D$5:$D$300,ROW()-1)-4)</f>
        <v>0</v>
      </c>
      <c r="G167" s="36">
        <f>INDEX(CANCIONES!H$5:H$2500,SMALL('OPERACIONES DE FORMULAS'!$D$5:$D$300,ROW()-1)-4)</f>
        <v>0</v>
      </c>
      <c r="H167" s="37">
        <f t="shared" si="5"/>
        <v>166</v>
      </c>
      <c r="K167" s="31" t="e">
        <f>SMALL('OPERACIONES DE FORMULAS'!$D$5:$D$35,ROW()-1)</f>
        <v>#NUM!</v>
      </c>
    </row>
    <row r="168" spans="1:11" x14ac:dyDescent="0.25">
      <c r="A168" s="33" t="str">
        <f t="shared" si="4"/>
        <v>00</v>
      </c>
      <c r="B168" s="34">
        <f>INDEX(CANCIONES!C$5:C$2500,SMALL('OPERACIONES DE FORMULAS'!$D$5:$D$300,ROW()-1)-4)</f>
        <v>0</v>
      </c>
      <c r="C168" s="35">
        <f>INDEX(CANCIONES!D$5:D$2500,SMALL('OPERACIONES DE FORMULAS'!$D$5:$D$300,ROW()-1)-4)</f>
        <v>0</v>
      </c>
      <c r="D168" s="34">
        <f>INDEX(CANCIONES!E$5:E$2500,SMALL('OPERACIONES DE FORMULAS'!$D$5:$D$300,ROW()-1)-4)</f>
        <v>0</v>
      </c>
      <c r="E168" s="35">
        <f>INDEX(CANCIONES!F$5:F$2500,SMALL('OPERACIONES DE FORMULAS'!$D$5:$D$300,ROW()-1)-4)</f>
        <v>0</v>
      </c>
      <c r="F168" s="34">
        <f>INDEX(CANCIONES!G$5:G$2500,SMALL('OPERACIONES DE FORMULAS'!$D$5:$D$300,ROW()-1)-4)</f>
        <v>0</v>
      </c>
      <c r="G168" s="35">
        <f>INDEX(CANCIONES!H$5:H$2500,SMALL('OPERACIONES DE FORMULAS'!$D$5:$D$300,ROW()-1)-4)</f>
        <v>0</v>
      </c>
      <c r="H168" s="34">
        <f t="shared" si="5"/>
        <v>167</v>
      </c>
      <c r="K168" s="32" t="e">
        <f>SMALL('OPERACIONES DE FORMULAS'!$D$5:$D$35,ROW()-1)</f>
        <v>#NUM!</v>
      </c>
    </row>
    <row r="169" spans="1:11" x14ac:dyDescent="0.25">
      <c r="A169" s="36" t="str">
        <f t="shared" si="4"/>
        <v>00</v>
      </c>
      <c r="B169" s="37">
        <f>INDEX(CANCIONES!C$5:C$2500,SMALL('OPERACIONES DE FORMULAS'!$D$5:$D$300,ROW()-1)-4)</f>
        <v>0</v>
      </c>
      <c r="C169" s="36">
        <f>INDEX(CANCIONES!D$5:D$2500,SMALL('OPERACIONES DE FORMULAS'!$D$5:$D$300,ROW()-1)-4)</f>
        <v>0</v>
      </c>
      <c r="D169" s="37">
        <f>INDEX(CANCIONES!E$5:E$2500,SMALL('OPERACIONES DE FORMULAS'!$D$5:$D$300,ROW()-1)-4)</f>
        <v>0</v>
      </c>
      <c r="E169" s="36">
        <f>INDEX(CANCIONES!F$5:F$2500,SMALL('OPERACIONES DE FORMULAS'!$D$5:$D$300,ROW()-1)-4)</f>
        <v>0</v>
      </c>
      <c r="F169" s="37">
        <f>INDEX(CANCIONES!G$5:G$2500,SMALL('OPERACIONES DE FORMULAS'!$D$5:$D$300,ROW()-1)-4)</f>
        <v>0</v>
      </c>
      <c r="G169" s="36">
        <f>INDEX(CANCIONES!H$5:H$2500,SMALL('OPERACIONES DE FORMULAS'!$D$5:$D$300,ROW()-1)-4)</f>
        <v>0</v>
      </c>
      <c r="H169" s="37">
        <f t="shared" si="5"/>
        <v>168</v>
      </c>
      <c r="K169" s="31" t="e">
        <f>SMALL('OPERACIONES DE FORMULAS'!$D$5:$D$35,ROW()-1)</f>
        <v>#NUM!</v>
      </c>
    </row>
    <row r="170" spans="1:11" x14ac:dyDescent="0.25">
      <c r="A170" s="33" t="str">
        <f t="shared" si="4"/>
        <v>00</v>
      </c>
      <c r="B170" s="34">
        <f>INDEX(CANCIONES!C$5:C$2500,SMALL('OPERACIONES DE FORMULAS'!$D$5:$D$300,ROW()-1)-4)</f>
        <v>0</v>
      </c>
      <c r="C170" s="35">
        <f>INDEX(CANCIONES!D$5:D$2500,SMALL('OPERACIONES DE FORMULAS'!$D$5:$D$300,ROW()-1)-4)</f>
        <v>0</v>
      </c>
      <c r="D170" s="34">
        <f>INDEX(CANCIONES!E$5:E$2500,SMALL('OPERACIONES DE FORMULAS'!$D$5:$D$300,ROW()-1)-4)</f>
        <v>0</v>
      </c>
      <c r="E170" s="35">
        <f>INDEX(CANCIONES!F$5:F$2500,SMALL('OPERACIONES DE FORMULAS'!$D$5:$D$300,ROW()-1)-4)</f>
        <v>0</v>
      </c>
      <c r="F170" s="34">
        <f>INDEX(CANCIONES!G$5:G$2500,SMALL('OPERACIONES DE FORMULAS'!$D$5:$D$300,ROW()-1)-4)</f>
        <v>0</v>
      </c>
      <c r="G170" s="35">
        <f>INDEX(CANCIONES!H$5:H$2500,SMALL('OPERACIONES DE FORMULAS'!$D$5:$D$300,ROW()-1)-4)</f>
        <v>0</v>
      </c>
      <c r="H170" s="34">
        <f t="shared" si="5"/>
        <v>169</v>
      </c>
      <c r="K170" s="32" t="e">
        <f>SMALL('OPERACIONES DE FORMULAS'!$D$5:$D$35,ROW()-1)</f>
        <v>#NUM!</v>
      </c>
    </row>
    <row r="171" spans="1:11" x14ac:dyDescent="0.25">
      <c r="A171" s="36" t="str">
        <f t="shared" si="4"/>
        <v>00</v>
      </c>
      <c r="B171" s="37">
        <f>INDEX(CANCIONES!C$5:C$2500,SMALL('OPERACIONES DE FORMULAS'!$D$5:$D$300,ROW()-1)-4)</f>
        <v>0</v>
      </c>
      <c r="C171" s="36">
        <f>INDEX(CANCIONES!D$5:D$2500,SMALL('OPERACIONES DE FORMULAS'!$D$5:$D$300,ROW()-1)-4)</f>
        <v>0</v>
      </c>
      <c r="D171" s="37">
        <f>INDEX(CANCIONES!E$5:E$2500,SMALL('OPERACIONES DE FORMULAS'!$D$5:$D$300,ROW()-1)-4)</f>
        <v>0</v>
      </c>
      <c r="E171" s="36">
        <f>INDEX(CANCIONES!F$5:F$2500,SMALL('OPERACIONES DE FORMULAS'!$D$5:$D$300,ROW()-1)-4)</f>
        <v>0</v>
      </c>
      <c r="F171" s="37">
        <f>INDEX(CANCIONES!G$5:G$2500,SMALL('OPERACIONES DE FORMULAS'!$D$5:$D$300,ROW()-1)-4)</f>
        <v>0</v>
      </c>
      <c r="G171" s="36">
        <f>INDEX(CANCIONES!H$5:H$2500,SMALL('OPERACIONES DE FORMULAS'!$D$5:$D$300,ROW()-1)-4)</f>
        <v>0</v>
      </c>
      <c r="H171" s="37">
        <f t="shared" si="5"/>
        <v>170</v>
      </c>
      <c r="K171" s="31" t="e">
        <f>SMALL('OPERACIONES DE FORMULAS'!$D$5:$D$35,ROW()-1)</f>
        <v>#NUM!</v>
      </c>
    </row>
    <row r="172" spans="1:11" x14ac:dyDescent="0.25">
      <c r="A172" s="33" t="str">
        <f t="shared" si="4"/>
        <v>00</v>
      </c>
      <c r="B172" s="34">
        <f>INDEX(CANCIONES!C$5:C$2500,SMALL('OPERACIONES DE FORMULAS'!$D$5:$D$300,ROW()-1)-4)</f>
        <v>0</v>
      </c>
      <c r="C172" s="35">
        <f>INDEX(CANCIONES!D$5:D$2500,SMALL('OPERACIONES DE FORMULAS'!$D$5:$D$300,ROW()-1)-4)</f>
        <v>0</v>
      </c>
      <c r="D172" s="34">
        <f>INDEX(CANCIONES!E$5:E$2500,SMALL('OPERACIONES DE FORMULAS'!$D$5:$D$300,ROW()-1)-4)</f>
        <v>0</v>
      </c>
      <c r="E172" s="35">
        <f>INDEX(CANCIONES!F$5:F$2500,SMALL('OPERACIONES DE FORMULAS'!$D$5:$D$300,ROW()-1)-4)</f>
        <v>0</v>
      </c>
      <c r="F172" s="34">
        <f>INDEX(CANCIONES!G$5:G$2500,SMALL('OPERACIONES DE FORMULAS'!$D$5:$D$300,ROW()-1)-4)</f>
        <v>0</v>
      </c>
      <c r="G172" s="35">
        <f>INDEX(CANCIONES!H$5:H$2500,SMALL('OPERACIONES DE FORMULAS'!$D$5:$D$300,ROW()-1)-4)</f>
        <v>0</v>
      </c>
      <c r="H172" s="34">
        <f t="shared" si="5"/>
        <v>171</v>
      </c>
      <c r="K172" s="32" t="e">
        <f>SMALL('OPERACIONES DE FORMULAS'!$D$5:$D$35,ROW()-1)</f>
        <v>#NUM!</v>
      </c>
    </row>
    <row r="173" spans="1:11" x14ac:dyDescent="0.25">
      <c r="A173" s="36" t="str">
        <f t="shared" si="4"/>
        <v>00</v>
      </c>
      <c r="B173" s="37">
        <f>INDEX(CANCIONES!C$5:C$2500,SMALL('OPERACIONES DE FORMULAS'!$D$5:$D$300,ROW()-1)-4)</f>
        <v>0</v>
      </c>
      <c r="C173" s="36">
        <f>INDEX(CANCIONES!D$5:D$2500,SMALL('OPERACIONES DE FORMULAS'!$D$5:$D$300,ROW()-1)-4)</f>
        <v>0</v>
      </c>
      <c r="D173" s="37">
        <f>INDEX(CANCIONES!E$5:E$2500,SMALL('OPERACIONES DE FORMULAS'!$D$5:$D$300,ROW()-1)-4)</f>
        <v>0</v>
      </c>
      <c r="E173" s="36">
        <f>INDEX(CANCIONES!F$5:F$2500,SMALL('OPERACIONES DE FORMULAS'!$D$5:$D$300,ROW()-1)-4)</f>
        <v>0</v>
      </c>
      <c r="F173" s="37">
        <f>INDEX(CANCIONES!G$5:G$2500,SMALL('OPERACIONES DE FORMULAS'!$D$5:$D$300,ROW()-1)-4)</f>
        <v>0</v>
      </c>
      <c r="G173" s="36">
        <f>INDEX(CANCIONES!H$5:H$2500,SMALL('OPERACIONES DE FORMULAS'!$D$5:$D$300,ROW()-1)-4)</f>
        <v>0</v>
      </c>
      <c r="H173" s="37">
        <f t="shared" si="5"/>
        <v>172</v>
      </c>
      <c r="K173" s="31" t="e">
        <f>SMALL('OPERACIONES DE FORMULAS'!$D$5:$D$35,ROW()-1)</f>
        <v>#NUM!</v>
      </c>
    </row>
    <row r="174" spans="1:11" x14ac:dyDescent="0.25">
      <c r="A174" s="33" t="str">
        <f t="shared" si="4"/>
        <v>00</v>
      </c>
      <c r="B174" s="34">
        <f>INDEX(CANCIONES!C$5:C$2500,SMALL('OPERACIONES DE FORMULAS'!$D$5:$D$300,ROW()-1)-4)</f>
        <v>0</v>
      </c>
      <c r="C174" s="35">
        <f>INDEX(CANCIONES!D$5:D$2500,SMALL('OPERACIONES DE FORMULAS'!$D$5:$D$300,ROW()-1)-4)</f>
        <v>0</v>
      </c>
      <c r="D174" s="34">
        <f>INDEX(CANCIONES!E$5:E$2500,SMALL('OPERACIONES DE FORMULAS'!$D$5:$D$300,ROW()-1)-4)</f>
        <v>0</v>
      </c>
      <c r="E174" s="35">
        <f>INDEX(CANCIONES!F$5:F$2500,SMALL('OPERACIONES DE FORMULAS'!$D$5:$D$300,ROW()-1)-4)</f>
        <v>0</v>
      </c>
      <c r="F174" s="34">
        <f>INDEX(CANCIONES!G$5:G$2500,SMALL('OPERACIONES DE FORMULAS'!$D$5:$D$300,ROW()-1)-4)</f>
        <v>0</v>
      </c>
      <c r="G174" s="35">
        <f>INDEX(CANCIONES!H$5:H$2500,SMALL('OPERACIONES DE FORMULAS'!$D$5:$D$300,ROW()-1)-4)</f>
        <v>0</v>
      </c>
      <c r="H174" s="34">
        <f t="shared" si="5"/>
        <v>173</v>
      </c>
      <c r="K174" s="32" t="e">
        <f>SMALL('OPERACIONES DE FORMULAS'!$D$5:$D$35,ROW()-1)</f>
        <v>#NUM!</v>
      </c>
    </row>
    <row r="175" spans="1:11" x14ac:dyDescent="0.25">
      <c r="A175" s="36" t="str">
        <f t="shared" si="4"/>
        <v>00</v>
      </c>
      <c r="B175" s="37">
        <f>INDEX(CANCIONES!C$5:C$2500,SMALL('OPERACIONES DE FORMULAS'!$D$5:$D$300,ROW()-1)-4)</f>
        <v>0</v>
      </c>
      <c r="C175" s="36">
        <f>INDEX(CANCIONES!D$5:D$2500,SMALL('OPERACIONES DE FORMULAS'!$D$5:$D$300,ROW()-1)-4)</f>
        <v>0</v>
      </c>
      <c r="D175" s="37">
        <f>INDEX(CANCIONES!E$5:E$2500,SMALL('OPERACIONES DE FORMULAS'!$D$5:$D$300,ROW()-1)-4)</f>
        <v>0</v>
      </c>
      <c r="E175" s="36">
        <f>INDEX(CANCIONES!F$5:F$2500,SMALL('OPERACIONES DE FORMULAS'!$D$5:$D$300,ROW()-1)-4)</f>
        <v>0</v>
      </c>
      <c r="F175" s="37">
        <f>INDEX(CANCIONES!G$5:G$2500,SMALL('OPERACIONES DE FORMULAS'!$D$5:$D$300,ROW()-1)-4)</f>
        <v>0</v>
      </c>
      <c r="G175" s="36">
        <f>INDEX(CANCIONES!H$5:H$2500,SMALL('OPERACIONES DE FORMULAS'!$D$5:$D$300,ROW()-1)-4)</f>
        <v>0</v>
      </c>
      <c r="H175" s="37">
        <f t="shared" si="5"/>
        <v>174</v>
      </c>
      <c r="K175" s="31" t="e">
        <f>SMALL('OPERACIONES DE FORMULAS'!$D$5:$D$35,ROW()-1)</f>
        <v>#NUM!</v>
      </c>
    </row>
    <row r="176" spans="1:11" x14ac:dyDescent="0.25">
      <c r="A176" s="33" t="str">
        <f t="shared" si="4"/>
        <v>00</v>
      </c>
      <c r="B176" s="34">
        <f>INDEX(CANCIONES!C$5:C$2500,SMALL('OPERACIONES DE FORMULAS'!$D$5:$D$300,ROW()-1)-4)</f>
        <v>0</v>
      </c>
      <c r="C176" s="35">
        <f>INDEX(CANCIONES!D$5:D$2500,SMALL('OPERACIONES DE FORMULAS'!$D$5:$D$300,ROW()-1)-4)</f>
        <v>0</v>
      </c>
      <c r="D176" s="34">
        <f>INDEX(CANCIONES!E$5:E$2500,SMALL('OPERACIONES DE FORMULAS'!$D$5:$D$300,ROW()-1)-4)</f>
        <v>0</v>
      </c>
      <c r="E176" s="35">
        <f>INDEX(CANCIONES!F$5:F$2500,SMALL('OPERACIONES DE FORMULAS'!$D$5:$D$300,ROW()-1)-4)</f>
        <v>0</v>
      </c>
      <c r="F176" s="34">
        <f>INDEX(CANCIONES!G$5:G$2500,SMALL('OPERACIONES DE FORMULAS'!$D$5:$D$300,ROW()-1)-4)</f>
        <v>0</v>
      </c>
      <c r="G176" s="35">
        <f>INDEX(CANCIONES!H$5:H$2500,SMALL('OPERACIONES DE FORMULAS'!$D$5:$D$300,ROW()-1)-4)</f>
        <v>0</v>
      </c>
      <c r="H176" s="34">
        <f t="shared" si="5"/>
        <v>175</v>
      </c>
      <c r="K176" s="32" t="e">
        <f>SMALL('OPERACIONES DE FORMULAS'!$D$5:$D$35,ROW()-1)</f>
        <v>#NUM!</v>
      </c>
    </row>
    <row r="177" spans="1:11" x14ac:dyDescent="0.25">
      <c r="A177" s="36" t="str">
        <f t="shared" si="4"/>
        <v>00</v>
      </c>
      <c r="B177" s="37">
        <f>INDEX(CANCIONES!C$5:C$2500,SMALL('OPERACIONES DE FORMULAS'!$D$5:$D$300,ROW()-1)-4)</f>
        <v>0</v>
      </c>
      <c r="C177" s="36">
        <f>INDEX(CANCIONES!D$5:D$2500,SMALL('OPERACIONES DE FORMULAS'!$D$5:$D$300,ROW()-1)-4)</f>
        <v>0</v>
      </c>
      <c r="D177" s="37">
        <f>INDEX(CANCIONES!E$5:E$2500,SMALL('OPERACIONES DE FORMULAS'!$D$5:$D$300,ROW()-1)-4)</f>
        <v>0</v>
      </c>
      <c r="E177" s="36">
        <f>INDEX(CANCIONES!F$5:F$2500,SMALL('OPERACIONES DE FORMULAS'!$D$5:$D$300,ROW()-1)-4)</f>
        <v>0</v>
      </c>
      <c r="F177" s="37">
        <f>INDEX(CANCIONES!G$5:G$2500,SMALL('OPERACIONES DE FORMULAS'!$D$5:$D$300,ROW()-1)-4)</f>
        <v>0</v>
      </c>
      <c r="G177" s="36">
        <f>INDEX(CANCIONES!H$5:H$2500,SMALL('OPERACIONES DE FORMULAS'!$D$5:$D$300,ROW()-1)-4)</f>
        <v>0</v>
      </c>
      <c r="H177" s="37">
        <f t="shared" si="5"/>
        <v>176</v>
      </c>
      <c r="K177" s="31" t="e">
        <f>SMALL('OPERACIONES DE FORMULAS'!$D$5:$D$35,ROW()-1)</f>
        <v>#NUM!</v>
      </c>
    </row>
    <row r="178" spans="1:11" x14ac:dyDescent="0.25">
      <c r="A178" s="33" t="str">
        <f t="shared" si="4"/>
        <v>00</v>
      </c>
      <c r="B178" s="34">
        <f>INDEX(CANCIONES!C$5:C$2500,SMALL('OPERACIONES DE FORMULAS'!$D$5:$D$300,ROW()-1)-4)</f>
        <v>0</v>
      </c>
      <c r="C178" s="35">
        <f>INDEX(CANCIONES!D$5:D$2500,SMALL('OPERACIONES DE FORMULAS'!$D$5:$D$300,ROW()-1)-4)</f>
        <v>0</v>
      </c>
      <c r="D178" s="34">
        <f>INDEX(CANCIONES!E$5:E$2500,SMALL('OPERACIONES DE FORMULAS'!$D$5:$D$300,ROW()-1)-4)</f>
        <v>0</v>
      </c>
      <c r="E178" s="35">
        <f>INDEX(CANCIONES!F$5:F$2500,SMALL('OPERACIONES DE FORMULAS'!$D$5:$D$300,ROW()-1)-4)</f>
        <v>0</v>
      </c>
      <c r="F178" s="34">
        <f>INDEX(CANCIONES!G$5:G$2500,SMALL('OPERACIONES DE FORMULAS'!$D$5:$D$300,ROW()-1)-4)</f>
        <v>0</v>
      </c>
      <c r="G178" s="35">
        <f>INDEX(CANCIONES!H$5:H$2500,SMALL('OPERACIONES DE FORMULAS'!$D$5:$D$300,ROW()-1)-4)</f>
        <v>0</v>
      </c>
      <c r="H178" s="34">
        <f t="shared" si="5"/>
        <v>177</v>
      </c>
      <c r="K178" s="32" t="e">
        <f>SMALL('OPERACIONES DE FORMULAS'!$D$5:$D$35,ROW()-1)</f>
        <v>#NUM!</v>
      </c>
    </row>
    <row r="179" spans="1:11" x14ac:dyDescent="0.25">
      <c r="A179" s="36" t="str">
        <f t="shared" si="4"/>
        <v>00</v>
      </c>
      <c r="B179" s="37">
        <f>INDEX(CANCIONES!C$5:C$2500,SMALL('OPERACIONES DE FORMULAS'!$D$5:$D$300,ROW()-1)-4)</f>
        <v>0</v>
      </c>
      <c r="C179" s="36">
        <f>INDEX(CANCIONES!D$5:D$2500,SMALL('OPERACIONES DE FORMULAS'!$D$5:$D$300,ROW()-1)-4)</f>
        <v>0</v>
      </c>
      <c r="D179" s="37">
        <f>INDEX(CANCIONES!E$5:E$2500,SMALL('OPERACIONES DE FORMULAS'!$D$5:$D$300,ROW()-1)-4)</f>
        <v>0</v>
      </c>
      <c r="E179" s="36">
        <f>INDEX(CANCIONES!F$5:F$2500,SMALL('OPERACIONES DE FORMULAS'!$D$5:$D$300,ROW()-1)-4)</f>
        <v>0</v>
      </c>
      <c r="F179" s="37">
        <f>INDEX(CANCIONES!G$5:G$2500,SMALL('OPERACIONES DE FORMULAS'!$D$5:$D$300,ROW()-1)-4)</f>
        <v>0</v>
      </c>
      <c r="G179" s="36">
        <f>INDEX(CANCIONES!H$5:H$2500,SMALL('OPERACIONES DE FORMULAS'!$D$5:$D$300,ROW()-1)-4)</f>
        <v>0</v>
      </c>
      <c r="H179" s="37">
        <f t="shared" si="5"/>
        <v>178</v>
      </c>
      <c r="K179" s="31" t="e">
        <f>SMALL('OPERACIONES DE FORMULAS'!$D$5:$D$35,ROW()-1)</f>
        <v>#NUM!</v>
      </c>
    </row>
    <row r="180" spans="1:11" x14ac:dyDescent="0.25">
      <c r="A180" s="33" t="str">
        <f t="shared" si="4"/>
        <v>00</v>
      </c>
      <c r="B180" s="34">
        <f>INDEX(CANCIONES!C$5:C$2500,SMALL('OPERACIONES DE FORMULAS'!$D$5:$D$300,ROW()-1)-4)</f>
        <v>0</v>
      </c>
      <c r="C180" s="35">
        <f>INDEX(CANCIONES!D$5:D$2500,SMALL('OPERACIONES DE FORMULAS'!$D$5:$D$300,ROW()-1)-4)</f>
        <v>0</v>
      </c>
      <c r="D180" s="34">
        <f>INDEX(CANCIONES!E$5:E$2500,SMALL('OPERACIONES DE FORMULAS'!$D$5:$D$300,ROW()-1)-4)</f>
        <v>0</v>
      </c>
      <c r="E180" s="35">
        <f>INDEX(CANCIONES!F$5:F$2500,SMALL('OPERACIONES DE FORMULAS'!$D$5:$D$300,ROW()-1)-4)</f>
        <v>0</v>
      </c>
      <c r="F180" s="34">
        <f>INDEX(CANCIONES!G$5:G$2500,SMALL('OPERACIONES DE FORMULAS'!$D$5:$D$300,ROW()-1)-4)</f>
        <v>0</v>
      </c>
      <c r="G180" s="35">
        <f>INDEX(CANCIONES!H$5:H$2500,SMALL('OPERACIONES DE FORMULAS'!$D$5:$D$300,ROW()-1)-4)</f>
        <v>0</v>
      </c>
      <c r="H180" s="34">
        <f t="shared" si="5"/>
        <v>179</v>
      </c>
      <c r="K180" s="32" t="e">
        <f>SMALL('OPERACIONES DE FORMULAS'!$D$5:$D$35,ROW()-1)</f>
        <v>#NUM!</v>
      </c>
    </row>
    <row r="181" spans="1:11" x14ac:dyDescent="0.25">
      <c r="A181" s="36" t="str">
        <f t="shared" si="4"/>
        <v>00</v>
      </c>
      <c r="B181" s="37">
        <f>INDEX(CANCIONES!C$5:C$2500,SMALL('OPERACIONES DE FORMULAS'!$D$5:$D$300,ROW()-1)-4)</f>
        <v>0</v>
      </c>
      <c r="C181" s="36">
        <f>INDEX(CANCIONES!D$5:D$2500,SMALL('OPERACIONES DE FORMULAS'!$D$5:$D$300,ROW()-1)-4)</f>
        <v>0</v>
      </c>
      <c r="D181" s="37">
        <f>INDEX(CANCIONES!E$5:E$2500,SMALL('OPERACIONES DE FORMULAS'!$D$5:$D$300,ROW()-1)-4)</f>
        <v>0</v>
      </c>
      <c r="E181" s="36">
        <f>INDEX(CANCIONES!F$5:F$2500,SMALL('OPERACIONES DE FORMULAS'!$D$5:$D$300,ROW()-1)-4)</f>
        <v>0</v>
      </c>
      <c r="F181" s="37">
        <f>INDEX(CANCIONES!G$5:G$2500,SMALL('OPERACIONES DE FORMULAS'!$D$5:$D$300,ROW()-1)-4)</f>
        <v>0</v>
      </c>
      <c r="G181" s="36">
        <f>INDEX(CANCIONES!H$5:H$2500,SMALL('OPERACIONES DE FORMULAS'!$D$5:$D$300,ROW()-1)-4)</f>
        <v>0</v>
      </c>
      <c r="H181" s="37">
        <f t="shared" si="5"/>
        <v>180</v>
      </c>
      <c r="K181" s="31" t="e">
        <f>SMALL('OPERACIONES DE FORMULAS'!$D$5:$D$35,ROW()-1)</f>
        <v>#NUM!</v>
      </c>
    </row>
    <row r="182" spans="1:11" x14ac:dyDescent="0.25">
      <c r="A182" s="33" t="str">
        <f t="shared" si="4"/>
        <v>00</v>
      </c>
      <c r="B182" s="34">
        <f>INDEX(CANCIONES!C$5:C$2500,SMALL('OPERACIONES DE FORMULAS'!$D$5:$D$300,ROW()-1)-4)</f>
        <v>0</v>
      </c>
      <c r="C182" s="35">
        <f>INDEX(CANCIONES!D$5:D$2500,SMALL('OPERACIONES DE FORMULAS'!$D$5:$D$300,ROW()-1)-4)</f>
        <v>0</v>
      </c>
      <c r="D182" s="34">
        <f>INDEX(CANCIONES!E$5:E$2500,SMALL('OPERACIONES DE FORMULAS'!$D$5:$D$300,ROW()-1)-4)</f>
        <v>0</v>
      </c>
      <c r="E182" s="35">
        <f>INDEX(CANCIONES!F$5:F$2500,SMALL('OPERACIONES DE FORMULAS'!$D$5:$D$300,ROW()-1)-4)</f>
        <v>0</v>
      </c>
      <c r="F182" s="34">
        <f>INDEX(CANCIONES!G$5:G$2500,SMALL('OPERACIONES DE FORMULAS'!$D$5:$D$300,ROW()-1)-4)</f>
        <v>0</v>
      </c>
      <c r="G182" s="35">
        <f>INDEX(CANCIONES!H$5:H$2500,SMALL('OPERACIONES DE FORMULAS'!$D$5:$D$300,ROW()-1)-4)</f>
        <v>0</v>
      </c>
      <c r="H182" s="34">
        <f t="shared" si="5"/>
        <v>181</v>
      </c>
      <c r="K182" s="32" t="e">
        <f>SMALL('OPERACIONES DE FORMULAS'!$D$5:$D$35,ROW()-1)</f>
        <v>#NUM!</v>
      </c>
    </row>
    <row r="183" spans="1:11" x14ac:dyDescent="0.25">
      <c r="A183" s="36" t="str">
        <f t="shared" si="4"/>
        <v>00</v>
      </c>
      <c r="B183" s="37">
        <f>INDEX(CANCIONES!C$5:C$2500,SMALL('OPERACIONES DE FORMULAS'!$D$5:$D$300,ROW()-1)-4)</f>
        <v>0</v>
      </c>
      <c r="C183" s="36">
        <f>INDEX(CANCIONES!D$5:D$2500,SMALL('OPERACIONES DE FORMULAS'!$D$5:$D$300,ROW()-1)-4)</f>
        <v>0</v>
      </c>
      <c r="D183" s="37">
        <f>INDEX(CANCIONES!E$5:E$2500,SMALL('OPERACIONES DE FORMULAS'!$D$5:$D$300,ROW()-1)-4)</f>
        <v>0</v>
      </c>
      <c r="E183" s="36">
        <f>INDEX(CANCIONES!F$5:F$2500,SMALL('OPERACIONES DE FORMULAS'!$D$5:$D$300,ROW()-1)-4)</f>
        <v>0</v>
      </c>
      <c r="F183" s="37">
        <f>INDEX(CANCIONES!G$5:G$2500,SMALL('OPERACIONES DE FORMULAS'!$D$5:$D$300,ROW()-1)-4)</f>
        <v>0</v>
      </c>
      <c r="G183" s="36">
        <f>INDEX(CANCIONES!H$5:H$2500,SMALL('OPERACIONES DE FORMULAS'!$D$5:$D$300,ROW()-1)-4)</f>
        <v>0</v>
      </c>
      <c r="H183" s="37">
        <f t="shared" si="5"/>
        <v>182</v>
      </c>
      <c r="K183" s="31" t="e">
        <f>SMALL('OPERACIONES DE FORMULAS'!$D$5:$D$35,ROW()-1)</f>
        <v>#NUM!</v>
      </c>
    </row>
    <row r="184" spans="1:11" x14ac:dyDescent="0.25">
      <c r="A184" s="33" t="str">
        <f t="shared" si="4"/>
        <v>00</v>
      </c>
      <c r="B184" s="34">
        <f>INDEX(CANCIONES!C$5:C$2500,SMALL('OPERACIONES DE FORMULAS'!$D$5:$D$300,ROW()-1)-4)</f>
        <v>0</v>
      </c>
      <c r="C184" s="35">
        <f>INDEX(CANCIONES!D$5:D$2500,SMALL('OPERACIONES DE FORMULAS'!$D$5:$D$300,ROW()-1)-4)</f>
        <v>0</v>
      </c>
      <c r="D184" s="34">
        <f>INDEX(CANCIONES!E$5:E$2500,SMALL('OPERACIONES DE FORMULAS'!$D$5:$D$300,ROW()-1)-4)</f>
        <v>0</v>
      </c>
      <c r="E184" s="35">
        <f>INDEX(CANCIONES!F$5:F$2500,SMALL('OPERACIONES DE FORMULAS'!$D$5:$D$300,ROW()-1)-4)</f>
        <v>0</v>
      </c>
      <c r="F184" s="34">
        <f>INDEX(CANCIONES!G$5:G$2500,SMALL('OPERACIONES DE FORMULAS'!$D$5:$D$300,ROW()-1)-4)</f>
        <v>0</v>
      </c>
      <c r="G184" s="35">
        <f>INDEX(CANCIONES!H$5:H$2500,SMALL('OPERACIONES DE FORMULAS'!$D$5:$D$300,ROW()-1)-4)</f>
        <v>0</v>
      </c>
      <c r="H184" s="34">
        <f t="shared" si="5"/>
        <v>183</v>
      </c>
      <c r="K184" s="32" t="e">
        <f>SMALL('OPERACIONES DE FORMULAS'!$D$5:$D$35,ROW()-1)</f>
        <v>#NUM!</v>
      </c>
    </row>
    <row r="185" spans="1:11" x14ac:dyDescent="0.25">
      <c r="A185" s="36" t="str">
        <f t="shared" si="4"/>
        <v>00</v>
      </c>
      <c r="B185" s="37">
        <f>INDEX(CANCIONES!C$5:C$2500,SMALL('OPERACIONES DE FORMULAS'!$D$5:$D$300,ROW()-1)-4)</f>
        <v>0</v>
      </c>
      <c r="C185" s="36">
        <f>INDEX(CANCIONES!D$5:D$2500,SMALL('OPERACIONES DE FORMULAS'!$D$5:$D$300,ROW()-1)-4)</f>
        <v>0</v>
      </c>
      <c r="D185" s="37">
        <f>INDEX(CANCIONES!E$5:E$2500,SMALL('OPERACIONES DE FORMULAS'!$D$5:$D$300,ROW()-1)-4)</f>
        <v>0</v>
      </c>
      <c r="E185" s="36">
        <f>INDEX(CANCIONES!F$5:F$2500,SMALL('OPERACIONES DE FORMULAS'!$D$5:$D$300,ROW()-1)-4)</f>
        <v>0</v>
      </c>
      <c r="F185" s="37">
        <f>INDEX(CANCIONES!G$5:G$2500,SMALL('OPERACIONES DE FORMULAS'!$D$5:$D$300,ROW()-1)-4)</f>
        <v>0</v>
      </c>
      <c r="G185" s="36">
        <f>INDEX(CANCIONES!H$5:H$2500,SMALL('OPERACIONES DE FORMULAS'!$D$5:$D$300,ROW()-1)-4)</f>
        <v>0</v>
      </c>
      <c r="H185" s="37">
        <f t="shared" si="5"/>
        <v>184</v>
      </c>
      <c r="K185" s="31" t="e">
        <f>SMALL('OPERACIONES DE FORMULAS'!$D$5:$D$35,ROW()-1)</f>
        <v>#NUM!</v>
      </c>
    </row>
    <row r="186" spans="1:11" x14ac:dyDescent="0.25">
      <c r="A186" s="33" t="str">
        <f t="shared" si="4"/>
        <v>00</v>
      </c>
      <c r="B186" s="34">
        <f>INDEX(CANCIONES!C$5:C$2500,SMALL('OPERACIONES DE FORMULAS'!$D$5:$D$300,ROW()-1)-4)</f>
        <v>0</v>
      </c>
      <c r="C186" s="35">
        <f>INDEX(CANCIONES!D$5:D$2500,SMALL('OPERACIONES DE FORMULAS'!$D$5:$D$300,ROW()-1)-4)</f>
        <v>0</v>
      </c>
      <c r="D186" s="34">
        <f>INDEX(CANCIONES!E$5:E$2500,SMALL('OPERACIONES DE FORMULAS'!$D$5:$D$300,ROW()-1)-4)</f>
        <v>0</v>
      </c>
      <c r="E186" s="35">
        <f>INDEX(CANCIONES!F$5:F$2500,SMALL('OPERACIONES DE FORMULAS'!$D$5:$D$300,ROW()-1)-4)</f>
        <v>0</v>
      </c>
      <c r="F186" s="34">
        <f>INDEX(CANCIONES!G$5:G$2500,SMALL('OPERACIONES DE FORMULAS'!$D$5:$D$300,ROW()-1)-4)</f>
        <v>0</v>
      </c>
      <c r="G186" s="35">
        <f>INDEX(CANCIONES!H$5:H$2500,SMALL('OPERACIONES DE FORMULAS'!$D$5:$D$300,ROW()-1)-4)</f>
        <v>0</v>
      </c>
      <c r="H186" s="34">
        <f t="shared" si="5"/>
        <v>185</v>
      </c>
      <c r="K186" s="32" t="e">
        <f>SMALL('OPERACIONES DE FORMULAS'!$D$5:$D$35,ROW()-1)</f>
        <v>#NUM!</v>
      </c>
    </row>
    <row r="187" spans="1:11" x14ac:dyDescent="0.25">
      <c r="A187" s="36" t="str">
        <f t="shared" si="4"/>
        <v>00</v>
      </c>
      <c r="B187" s="37">
        <f>INDEX(CANCIONES!C$5:C$2500,SMALL('OPERACIONES DE FORMULAS'!$D$5:$D$300,ROW()-1)-4)</f>
        <v>0</v>
      </c>
      <c r="C187" s="36">
        <f>INDEX(CANCIONES!D$5:D$2500,SMALL('OPERACIONES DE FORMULAS'!$D$5:$D$300,ROW()-1)-4)</f>
        <v>0</v>
      </c>
      <c r="D187" s="37">
        <f>INDEX(CANCIONES!E$5:E$2500,SMALL('OPERACIONES DE FORMULAS'!$D$5:$D$300,ROW()-1)-4)</f>
        <v>0</v>
      </c>
      <c r="E187" s="36">
        <f>INDEX(CANCIONES!F$5:F$2500,SMALL('OPERACIONES DE FORMULAS'!$D$5:$D$300,ROW()-1)-4)</f>
        <v>0</v>
      </c>
      <c r="F187" s="37">
        <f>INDEX(CANCIONES!G$5:G$2500,SMALL('OPERACIONES DE FORMULAS'!$D$5:$D$300,ROW()-1)-4)</f>
        <v>0</v>
      </c>
      <c r="G187" s="36">
        <f>INDEX(CANCIONES!H$5:H$2500,SMALL('OPERACIONES DE FORMULAS'!$D$5:$D$300,ROW()-1)-4)</f>
        <v>0</v>
      </c>
      <c r="H187" s="37">
        <f t="shared" si="5"/>
        <v>186</v>
      </c>
      <c r="K187" s="31" t="e">
        <f>SMALL('OPERACIONES DE FORMULAS'!$D$5:$D$35,ROW()-1)</f>
        <v>#NUM!</v>
      </c>
    </row>
    <row r="188" spans="1:11" x14ac:dyDescent="0.25">
      <c r="A188" s="33" t="str">
        <f t="shared" si="4"/>
        <v>00</v>
      </c>
      <c r="B188" s="34">
        <f>INDEX(CANCIONES!C$5:C$2500,SMALL('OPERACIONES DE FORMULAS'!$D$5:$D$300,ROW()-1)-4)</f>
        <v>0</v>
      </c>
      <c r="C188" s="35">
        <f>INDEX(CANCIONES!D$5:D$2500,SMALL('OPERACIONES DE FORMULAS'!$D$5:$D$300,ROW()-1)-4)</f>
        <v>0</v>
      </c>
      <c r="D188" s="34">
        <f>INDEX(CANCIONES!E$5:E$2500,SMALL('OPERACIONES DE FORMULAS'!$D$5:$D$300,ROW()-1)-4)</f>
        <v>0</v>
      </c>
      <c r="E188" s="35">
        <f>INDEX(CANCIONES!F$5:F$2500,SMALL('OPERACIONES DE FORMULAS'!$D$5:$D$300,ROW()-1)-4)</f>
        <v>0</v>
      </c>
      <c r="F188" s="34">
        <f>INDEX(CANCIONES!G$5:G$2500,SMALL('OPERACIONES DE FORMULAS'!$D$5:$D$300,ROW()-1)-4)</f>
        <v>0</v>
      </c>
      <c r="G188" s="35">
        <f>INDEX(CANCIONES!H$5:H$2500,SMALL('OPERACIONES DE FORMULAS'!$D$5:$D$300,ROW()-1)-4)</f>
        <v>0</v>
      </c>
      <c r="H188" s="34">
        <f t="shared" si="5"/>
        <v>187</v>
      </c>
      <c r="K188" s="32" t="e">
        <f>SMALL('OPERACIONES DE FORMULAS'!$D$5:$D$35,ROW()-1)</f>
        <v>#NUM!</v>
      </c>
    </row>
    <row r="189" spans="1:11" x14ac:dyDescent="0.25">
      <c r="A189" s="36" t="str">
        <f t="shared" si="4"/>
        <v>00</v>
      </c>
      <c r="B189" s="37">
        <f>INDEX(CANCIONES!C$5:C$2500,SMALL('OPERACIONES DE FORMULAS'!$D$5:$D$300,ROW()-1)-4)</f>
        <v>0</v>
      </c>
      <c r="C189" s="36">
        <f>INDEX(CANCIONES!D$5:D$2500,SMALL('OPERACIONES DE FORMULAS'!$D$5:$D$300,ROW()-1)-4)</f>
        <v>0</v>
      </c>
      <c r="D189" s="37">
        <f>INDEX(CANCIONES!E$5:E$2500,SMALL('OPERACIONES DE FORMULAS'!$D$5:$D$300,ROW()-1)-4)</f>
        <v>0</v>
      </c>
      <c r="E189" s="36">
        <f>INDEX(CANCIONES!F$5:F$2500,SMALL('OPERACIONES DE FORMULAS'!$D$5:$D$300,ROW()-1)-4)</f>
        <v>0</v>
      </c>
      <c r="F189" s="37">
        <f>INDEX(CANCIONES!G$5:G$2500,SMALL('OPERACIONES DE FORMULAS'!$D$5:$D$300,ROW()-1)-4)</f>
        <v>0</v>
      </c>
      <c r="G189" s="36">
        <f>INDEX(CANCIONES!H$5:H$2500,SMALL('OPERACIONES DE FORMULAS'!$D$5:$D$300,ROW()-1)-4)</f>
        <v>0</v>
      </c>
      <c r="H189" s="37">
        <f t="shared" si="5"/>
        <v>188</v>
      </c>
      <c r="K189" s="31" t="e">
        <f>SMALL('OPERACIONES DE FORMULAS'!$D$5:$D$35,ROW()-1)</f>
        <v>#NUM!</v>
      </c>
    </row>
    <row r="190" spans="1:11" x14ac:dyDescent="0.25">
      <c r="A190" s="33" t="str">
        <f t="shared" si="4"/>
        <v>00</v>
      </c>
      <c r="B190" s="34">
        <f>INDEX(CANCIONES!C$5:C$2500,SMALL('OPERACIONES DE FORMULAS'!$D$5:$D$300,ROW()-1)-4)</f>
        <v>0</v>
      </c>
      <c r="C190" s="35">
        <f>INDEX(CANCIONES!D$5:D$2500,SMALL('OPERACIONES DE FORMULAS'!$D$5:$D$300,ROW()-1)-4)</f>
        <v>0</v>
      </c>
      <c r="D190" s="34">
        <f>INDEX(CANCIONES!E$5:E$2500,SMALL('OPERACIONES DE FORMULAS'!$D$5:$D$300,ROW()-1)-4)</f>
        <v>0</v>
      </c>
      <c r="E190" s="35">
        <f>INDEX(CANCIONES!F$5:F$2500,SMALL('OPERACIONES DE FORMULAS'!$D$5:$D$300,ROW()-1)-4)</f>
        <v>0</v>
      </c>
      <c r="F190" s="34">
        <f>INDEX(CANCIONES!G$5:G$2500,SMALL('OPERACIONES DE FORMULAS'!$D$5:$D$300,ROW()-1)-4)</f>
        <v>0</v>
      </c>
      <c r="G190" s="35">
        <f>INDEX(CANCIONES!H$5:H$2500,SMALL('OPERACIONES DE FORMULAS'!$D$5:$D$300,ROW()-1)-4)</f>
        <v>0</v>
      </c>
      <c r="H190" s="34">
        <f t="shared" si="5"/>
        <v>189</v>
      </c>
      <c r="K190" s="32" t="e">
        <f>SMALL('OPERACIONES DE FORMULAS'!$D$5:$D$35,ROW()-1)</f>
        <v>#NUM!</v>
      </c>
    </row>
    <row r="191" spans="1:11" x14ac:dyDescent="0.25">
      <c r="A191" s="36" t="str">
        <f t="shared" si="4"/>
        <v>00</v>
      </c>
      <c r="B191" s="37">
        <f>INDEX(CANCIONES!C$5:C$2500,SMALL('OPERACIONES DE FORMULAS'!$D$5:$D$300,ROW()-1)-4)</f>
        <v>0</v>
      </c>
      <c r="C191" s="36">
        <f>INDEX(CANCIONES!D$5:D$2500,SMALL('OPERACIONES DE FORMULAS'!$D$5:$D$300,ROW()-1)-4)</f>
        <v>0</v>
      </c>
      <c r="D191" s="37">
        <f>INDEX(CANCIONES!E$5:E$2500,SMALL('OPERACIONES DE FORMULAS'!$D$5:$D$300,ROW()-1)-4)</f>
        <v>0</v>
      </c>
      <c r="E191" s="36">
        <f>INDEX(CANCIONES!F$5:F$2500,SMALL('OPERACIONES DE FORMULAS'!$D$5:$D$300,ROW()-1)-4)</f>
        <v>0</v>
      </c>
      <c r="F191" s="37">
        <f>INDEX(CANCIONES!G$5:G$2500,SMALL('OPERACIONES DE FORMULAS'!$D$5:$D$300,ROW()-1)-4)</f>
        <v>0</v>
      </c>
      <c r="G191" s="36">
        <f>INDEX(CANCIONES!H$5:H$2500,SMALL('OPERACIONES DE FORMULAS'!$D$5:$D$300,ROW()-1)-4)</f>
        <v>0</v>
      </c>
      <c r="H191" s="37">
        <f t="shared" si="5"/>
        <v>190</v>
      </c>
      <c r="K191" s="31" t="e">
        <f>SMALL('OPERACIONES DE FORMULAS'!$D$5:$D$35,ROW()-1)</f>
        <v>#NUM!</v>
      </c>
    </row>
    <row r="192" spans="1:11" x14ac:dyDescent="0.25">
      <c r="A192" s="33" t="str">
        <f t="shared" si="4"/>
        <v>00</v>
      </c>
      <c r="B192" s="34">
        <f>INDEX(CANCIONES!C$5:C$2500,SMALL('OPERACIONES DE FORMULAS'!$D$5:$D$300,ROW()-1)-4)</f>
        <v>0</v>
      </c>
      <c r="C192" s="35">
        <f>INDEX(CANCIONES!D$5:D$2500,SMALL('OPERACIONES DE FORMULAS'!$D$5:$D$300,ROW()-1)-4)</f>
        <v>0</v>
      </c>
      <c r="D192" s="34">
        <f>INDEX(CANCIONES!E$5:E$2500,SMALL('OPERACIONES DE FORMULAS'!$D$5:$D$300,ROW()-1)-4)</f>
        <v>0</v>
      </c>
      <c r="E192" s="35">
        <f>INDEX(CANCIONES!F$5:F$2500,SMALL('OPERACIONES DE FORMULAS'!$D$5:$D$300,ROW()-1)-4)</f>
        <v>0</v>
      </c>
      <c r="F192" s="34">
        <f>INDEX(CANCIONES!G$5:G$2500,SMALL('OPERACIONES DE FORMULAS'!$D$5:$D$300,ROW()-1)-4)</f>
        <v>0</v>
      </c>
      <c r="G192" s="35">
        <f>INDEX(CANCIONES!H$5:H$2500,SMALL('OPERACIONES DE FORMULAS'!$D$5:$D$300,ROW()-1)-4)</f>
        <v>0</v>
      </c>
      <c r="H192" s="34">
        <f t="shared" si="5"/>
        <v>191</v>
      </c>
      <c r="K192" s="32" t="e">
        <f>SMALL('OPERACIONES DE FORMULAS'!$D$5:$D$35,ROW()-1)</f>
        <v>#NUM!</v>
      </c>
    </row>
    <row r="193" spans="1:11" x14ac:dyDescent="0.25">
      <c r="A193" s="36" t="str">
        <f t="shared" si="4"/>
        <v>00</v>
      </c>
      <c r="B193" s="37">
        <f>INDEX(CANCIONES!C$5:C$2500,SMALL('OPERACIONES DE FORMULAS'!$D$5:$D$300,ROW()-1)-4)</f>
        <v>0</v>
      </c>
      <c r="C193" s="36">
        <f>INDEX(CANCIONES!D$5:D$2500,SMALL('OPERACIONES DE FORMULAS'!$D$5:$D$300,ROW()-1)-4)</f>
        <v>0</v>
      </c>
      <c r="D193" s="37">
        <f>INDEX(CANCIONES!E$5:E$2500,SMALL('OPERACIONES DE FORMULAS'!$D$5:$D$300,ROW()-1)-4)</f>
        <v>0</v>
      </c>
      <c r="E193" s="36">
        <f>INDEX(CANCIONES!F$5:F$2500,SMALL('OPERACIONES DE FORMULAS'!$D$5:$D$300,ROW()-1)-4)</f>
        <v>0</v>
      </c>
      <c r="F193" s="37">
        <f>INDEX(CANCIONES!G$5:G$2500,SMALL('OPERACIONES DE FORMULAS'!$D$5:$D$300,ROW()-1)-4)</f>
        <v>0</v>
      </c>
      <c r="G193" s="36">
        <f>INDEX(CANCIONES!H$5:H$2500,SMALL('OPERACIONES DE FORMULAS'!$D$5:$D$300,ROW()-1)-4)</f>
        <v>0</v>
      </c>
      <c r="H193" s="37">
        <f t="shared" si="5"/>
        <v>192</v>
      </c>
      <c r="K193" s="31" t="e">
        <f>SMALL('OPERACIONES DE FORMULAS'!$D$5:$D$35,ROW()-1)</f>
        <v>#NUM!</v>
      </c>
    </row>
    <row r="194" spans="1:11" x14ac:dyDescent="0.25">
      <c r="A194" s="33" t="str">
        <f t="shared" si="4"/>
        <v>00</v>
      </c>
      <c r="B194" s="34">
        <f>INDEX(CANCIONES!C$5:C$2500,SMALL('OPERACIONES DE FORMULAS'!$D$5:$D$300,ROW()-1)-4)</f>
        <v>0</v>
      </c>
      <c r="C194" s="35">
        <f>INDEX(CANCIONES!D$5:D$2500,SMALL('OPERACIONES DE FORMULAS'!$D$5:$D$300,ROW()-1)-4)</f>
        <v>0</v>
      </c>
      <c r="D194" s="34">
        <f>INDEX(CANCIONES!E$5:E$2500,SMALL('OPERACIONES DE FORMULAS'!$D$5:$D$300,ROW()-1)-4)</f>
        <v>0</v>
      </c>
      <c r="E194" s="35">
        <f>INDEX(CANCIONES!F$5:F$2500,SMALL('OPERACIONES DE FORMULAS'!$D$5:$D$300,ROW()-1)-4)</f>
        <v>0</v>
      </c>
      <c r="F194" s="34">
        <f>INDEX(CANCIONES!G$5:G$2500,SMALL('OPERACIONES DE FORMULAS'!$D$5:$D$300,ROW()-1)-4)</f>
        <v>0</v>
      </c>
      <c r="G194" s="35">
        <f>INDEX(CANCIONES!H$5:H$2500,SMALL('OPERACIONES DE FORMULAS'!$D$5:$D$300,ROW()-1)-4)</f>
        <v>0</v>
      </c>
      <c r="H194" s="34">
        <f t="shared" si="5"/>
        <v>193</v>
      </c>
      <c r="K194" s="32" t="e">
        <f>SMALL('OPERACIONES DE FORMULAS'!$D$5:$D$35,ROW()-1)</f>
        <v>#NUM!</v>
      </c>
    </row>
    <row r="195" spans="1:11" x14ac:dyDescent="0.25">
      <c r="A195" s="36" t="str">
        <f t="shared" ref="A195:A258" si="6">$F195&amp;$G195</f>
        <v>00</v>
      </c>
      <c r="B195" s="37">
        <f>INDEX(CANCIONES!C$5:C$2500,SMALL('OPERACIONES DE FORMULAS'!$D$5:$D$300,ROW()-1)-4)</f>
        <v>0</v>
      </c>
      <c r="C195" s="36">
        <f>INDEX(CANCIONES!D$5:D$2500,SMALL('OPERACIONES DE FORMULAS'!$D$5:$D$300,ROW()-1)-4)</f>
        <v>0</v>
      </c>
      <c r="D195" s="37">
        <f>INDEX(CANCIONES!E$5:E$2500,SMALL('OPERACIONES DE FORMULAS'!$D$5:$D$300,ROW()-1)-4)</f>
        <v>0</v>
      </c>
      <c r="E195" s="36">
        <f>INDEX(CANCIONES!F$5:F$2500,SMALL('OPERACIONES DE FORMULAS'!$D$5:$D$300,ROW()-1)-4)</f>
        <v>0</v>
      </c>
      <c r="F195" s="37">
        <f>INDEX(CANCIONES!G$5:G$2500,SMALL('OPERACIONES DE FORMULAS'!$D$5:$D$300,ROW()-1)-4)</f>
        <v>0</v>
      </c>
      <c r="G195" s="36">
        <f>INDEX(CANCIONES!H$5:H$2500,SMALL('OPERACIONES DE FORMULAS'!$D$5:$D$300,ROW()-1)-4)</f>
        <v>0</v>
      </c>
      <c r="H195" s="37">
        <f t="shared" ref="H195:H258" si="7">ROW()-1</f>
        <v>194</v>
      </c>
      <c r="K195" s="31" t="e">
        <f>SMALL('OPERACIONES DE FORMULAS'!$D$5:$D$35,ROW()-1)</f>
        <v>#NUM!</v>
      </c>
    </row>
    <row r="196" spans="1:11" x14ac:dyDescent="0.25">
      <c r="A196" s="33" t="str">
        <f t="shared" si="6"/>
        <v>00</v>
      </c>
      <c r="B196" s="34">
        <f>INDEX(CANCIONES!C$5:C$2500,SMALL('OPERACIONES DE FORMULAS'!$D$5:$D$300,ROW()-1)-4)</f>
        <v>0</v>
      </c>
      <c r="C196" s="35">
        <f>INDEX(CANCIONES!D$5:D$2500,SMALL('OPERACIONES DE FORMULAS'!$D$5:$D$300,ROW()-1)-4)</f>
        <v>0</v>
      </c>
      <c r="D196" s="34">
        <f>INDEX(CANCIONES!E$5:E$2500,SMALL('OPERACIONES DE FORMULAS'!$D$5:$D$300,ROW()-1)-4)</f>
        <v>0</v>
      </c>
      <c r="E196" s="35">
        <f>INDEX(CANCIONES!F$5:F$2500,SMALL('OPERACIONES DE FORMULAS'!$D$5:$D$300,ROW()-1)-4)</f>
        <v>0</v>
      </c>
      <c r="F196" s="34">
        <f>INDEX(CANCIONES!G$5:G$2500,SMALL('OPERACIONES DE FORMULAS'!$D$5:$D$300,ROW()-1)-4)</f>
        <v>0</v>
      </c>
      <c r="G196" s="35">
        <f>INDEX(CANCIONES!H$5:H$2500,SMALL('OPERACIONES DE FORMULAS'!$D$5:$D$300,ROW()-1)-4)</f>
        <v>0</v>
      </c>
      <c r="H196" s="34">
        <f t="shared" si="7"/>
        <v>195</v>
      </c>
      <c r="K196" s="32" t="e">
        <f>SMALL('OPERACIONES DE FORMULAS'!$D$5:$D$35,ROW()-1)</f>
        <v>#NUM!</v>
      </c>
    </row>
    <row r="197" spans="1:11" x14ac:dyDescent="0.25">
      <c r="A197" s="36" t="str">
        <f t="shared" si="6"/>
        <v>00</v>
      </c>
      <c r="B197" s="37">
        <f>INDEX(CANCIONES!C$5:C$2500,SMALL('OPERACIONES DE FORMULAS'!$D$5:$D$300,ROW()-1)-4)</f>
        <v>0</v>
      </c>
      <c r="C197" s="36">
        <f>INDEX(CANCIONES!D$5:D$2500,SMALL('OPERACIONES DE FORMULAS'!$D$5:$D$300,ROW()-1)-4)</f>
        <v>0</v>
      </c>
      <c r="D197" s="37">
        <f>INDEX(CANCIONES!E$5:E$2500,SMALL('OPERACIONES DE FORMULAS'!$D$5:$D$300,ROW()-1)-4)</f>
        <v>0</v>
      </c>
      <c r="E197" s="36">
        <f>INDEX(CANCIONES!F$5:F$2500,SMALL('OPERACIONES DE FORMULAS'!$D$5:$D$300,ROW()-1)-4)</f>
        <v>0</v>
      </c>
      <c r="F197" s="37">
        <f>INDEX(CANCIONES!G$5:G$2500,SMALL('OPERACIONES DE FORMULAS'!$D$5:$D$300,ROW()-1)-4)</f>
        <v>0</v>
      </c>
      <c r="G197" s="36">
        <f>INDEX(CANCIONES!H$5:H$2500,SMALL('OPERACIONES DE FORMULAS'!$D$5:$D$300,ROW()-1)-4)</f>
        <v>0</v>
      </c>
      <c r="H197" s="37">
        <f t="shared" si="7"/>
        <v>196</v>
      </c>
      <c r="K197" s="31" t="e">
        <f>SMALL('OPERACIONES DE FORMULAS'!$D$5:$D$35,ROW()-1)</f>
        <v>#NUM!</v>
      </c>
    </row>
    <row r="198" spans="1:11" x14ac:dyDescent="0.25">
      <c r="A198" s="33" t="str">
        <f t="shared" si="6"/>
        <v>00</v>
      </c>
      <c r="B198" s="34">
        <f>INDEX(CANCIONES!C$5:C$2500,SMALL('OPERACIONES DE FORMULAS'!$D$5:$D$300,ROW()-1)-4)</f>
        <v>0</v>
      </c>
      <c r="C198" s="35">
        <f>INDEX(CANCIONES!D$5:D$2500,SMALL('OPERACIONES DE FORMULAS'!$D$5:$D$300,ROW()-1)-4)</f>
        <v>0</v>
      </c>
      <c r="D198" s="34">
        <f>INDEX(CANCIONES!E$5:E$2500,SMALL('OPERACIONES DE FORMULAS'!$D$5:$D$300,ROW()-1)-4)</f>
        <v>0</v>
      </c>
      <c r="E198" s="35">
        <f>INDEX(CANCIONES!F$5:F$2500,SMALL('OPERACIONES DE FORMULAS'!$D$5:$D$300,ROW()-1)-4)</f>
        <v>0</v>
      </c>
      <c r="F198" s="34">
        <f>INDEX(CANCIONES!G$5:G$2500,SMALL('OPERACIONES DE FORMULAS'!$D$5:$D$300,ROW()-1)-4)</f>
        <v>0</v>
      </c>
      <c r="G198" s="35">
        <f>INDEX(CANCIONES!H$5:H$2500,SMALL('OPERACIONES DE FORMULAS'!$D$5:$D$300,ROW()-1)-4)</f>
        <v>0</v>
      </c>
      <c r="H198" s="34">
        <f t="shared" si="7"/>
        <v>197</v>
      </c>
      <c r="K198" s="32" t="e">
        <f>SMALL('OPERACIONES DE FORMULAS'!$D$5:$D$35,ROW()-1)</f>
        <v>#NUM!</v>
      </c>
    </row>
    <row r="199" spans="1:11" x14ac:dyDescent="0.25">
      <c r="A199" s="36" t="str">
        <f t="shared" si="6"/>
        <v>00</v>
      </c>
      <c r="B199" s="37">
        <f>INDEX(CANCIONES!C$5:C$2500,SMALL('OPERACIONES DE FORMULAS'!$D$5:$D$300,ROW()-1)-4)</f>
        <v>0</v>
      </c>
      <c r="C199" s="36">
        <f>INDEX(CANCIONES!D$5:D$2500,SMALL('OPERACIONES DE FORMULAS'!$D$5:$D$300,ROW()-1)-4)</f>
        <v>0</v>
      </c>
      <c r="D199" s="37">
        <f>INDEX(CANCIONES!E$5:E$2500,SMALL('OPERACIONES DE FORMULAS'!$D$5:$D$300,ROW()-1)-4)</f>
        <v>0</v>
      </c>
      <c r="E199" s="36">
        <f>INDEX(CANCIONES!F$5:F$2500,SMALL('OPERACIONES DE FORMULAS'!$D$5:$D$300,ROW()-1)-4)</f>
        <v>0</v>
      </c>
      <c r="F199" s="37">
        <f>INDEX(CANCIONES!G$5:G$2500,SMALL('OPERACIONES DE FORMULAS'!$D$5:$D$300,ROW()-1)-4)</f>
        <v>0</v>
      </c>
      <c r="G199" s="36">
        <f>INDEX(CANCIONES!H$5:H$2500,SMALL('OPERACIONES DE FORMULAS'!$D$5:$D$300,ROW()-1)-4)</f>
        <v>0</v>
      </c>
      <c r="H199" s="37">
        <f t="shared" si="7"/>
        <v>198</v>
      </c>
      <c r="K199" s="31" t="e">
        <f>SMALL('OPERACIONES DE FORMULAS'!$D$5:$D$35,ROW()-1)</f>
        <v>#NUM!</v>
      </c>
    </row>
    <row r="200" spans="1:11" x14ac:dyDescent="0.25">
      <c r="A200" s="33" t="str">
        <f t="shared" si="6"/>
        <v>00</v>
      </c>
      <c r="B200" s="34">
        <f>INDEX(CANCIONES!C$5:C$2500,SMALL('OPERACIONES DE FORMULAS'!$D$5:$D$300,ROW()-1)-4)</f>
        <v>0</v>
      </c>
      <c r="C200" s="35">
        <f>INDEX(CANCIONES!D$5:D$2500,SMALL('OPERACIONES DE FORMULAS'!$D$5:$D$300,ROW()-1)-4)</f>
        <v>0</v>
      </c>
      <c r="D200" s="34">
        <f>INDEX(CANCIONES!E$5:E$2500,SMALL('OPERACIONES DE FORMULAS'!$D$5:$D$300,ROW()-1)-4)</f>
        <v>0</v>
      </c>
      <c r="E200" s="35">
        <f>INDEX(CANCIONES!F$5:F$2500,SMALL('OPERACIONES DE FORMULAS'!$D$5:$D$300,ROW()-1)-4)</f>
        <v>0</v>
      </c>
      <c r="F200" s="34">
        <f>INDEX(CANCIONES!G$5:G$2500,SMALL('OPERACIONES DE FORMULAS'!$D$5:$D$300,ROW()-1)-4)</f>
        <v>0</v>
      </c>
      <c r="G200" s="35">
        <f>INDEX(CANCIONES!H$5:H$2500,SMALL('OPERACIONES DE FORMULAS'!$D$5:$D$300,ROW()-1)-4)</f>
        <v>0</v>
      </c>
      <c r="H200" s="34">
        <f t="shared" si="7"/>
        <v>199</v>
      </c>
      <c r="K200" s="32" t="e">
        <f>SMALL('OPERACIONES DE FORMULAS'!$D$5:$D$35,ROW()-1)</f>
        <v>#NUM!</v>
      </c>
    </row>
    <row r="201" spans="1:11" x14ac:dyDescent="0.25">
      <c r="A201" s="36" t="str">
        <f t="shared" si="6"/>
        <v>00</v>
      </c>
      <c r="B201" s="37">
        <f>INDEX(CANCIONES!C$5:C$2500,SMALL('OPERACIONES DE FORMULAS'!$D$5:$D$300,ROW()-1)-4)</f>
        <v>0</v>
      </c>
      <c r="C201" s="36">
        <f>INDEX(CANCIONES!D$5:D$2500,SMALL('OPERACIONES DE FORMULAS'!$D$5:$D$300,ROW()-1)-4)</f>
        <v>0</v>
      </c>
      <c r="D201" s="37">
        <f>INDEX(CANCIONES!E$5:E$2500,SMALL('OPERACIONES DE FORMULAS'!$D$5:$D$300,ROW()-1)-4)</f>
        <v>0</v>
      </c>
      <c r="E201" s="36">
        <f>INDEX(CANCIONES!F$5:F$2500,SMALL('OPERACIONES DE FORMULAS'!$D$5:$D$300,ROW()-1)-4)</f>
        <v>0</v>
      </c>
      <c r="F201" s="37">
        <f>INDEX(CANCIONES!G$5:G$2500,SMALL('OPERACIONES DE FORMULAS'!$D$5:$D$300,ROW()-1)-4)</f>
        <v>0</v>
      </c>
      <c r="G201" s="36">
        <f>INDEX(CANCIONES!H$5:H$2500,SMALL('OPERACIONES DE FORMULAS'!$D$5:$D$300,ROW()-1)-4)</f>
        <v>0</v>
      </c>
      <c r="H201" s="37">
        <f t="shared" si="7"/>
        <v>200</v>
      </c>
      <c r="K201" s="31" t="e">
        <f>SMALL('OPERACIONES DE FORMULAS'!$D$5:$D$35,ROW()-1)</f>
        <v>#NUM!</v>
      </c>
    </row>
    <row r="202" spans="1:11" x14ac:dyDescent="0.25">
      <c r="A202" s="33" t="str">
        <f t="shared" si="6"/>
        <v>00</v>
      </c>
      <c r="B202" s="34">
        <f>INDEX(CANCIONES!C$5:C$2500,SMALL('OPERACIONES DE FORMULAS'!$D$5:$D$300,ROW()-1)-4)</f>
        <v>0</v>
      </c>
      <c r="C202" s="35">
        <f>INDEX(CANCIONES!D$5:D$2500,SMALL('OPERACIONES DE FORMULAS'!$D$5:$D$300,ROW()-1)-4)</f>
        <v>0</v>
      </c>
      <c r="D202" s="34">
        <f>INDEX(CANCIONES!E$5:E$2500,SMALL('OPERACIONES DE FORMULAS'!$D$5:$D$300,ROW()-1)-4)</f>
        <v>0</v>
      </c>
      <c r="E202" s="35">
        <f>INDEX(CANCIONES!F$5:F$2500,SMALL('OPERACIONES DE FORMULAS'!$D$5:$D$300,ROW()-1)-4)</f>
        <v>0</v>
      </c>
      <c r="F202" s="34">
        <f>INDEX(CANCIONES!G$5:G$2500,SMALL('OPERACIONES DE FORMULAS'!$D$5:$D$300,ROW()-1)-4)</f>
        <v>0</v>
      </c>
      <c r="G202" s="35">
        <f>INDEX(CANCIONES!H$5:H$2500,SMALL('OPERACIONES DE FORMULAS'!$D$5:$D$300,ROW()-1)-4)</f>
        <v>0</v>
      </c>
      <c r="H202" s="34">
        <f t="shared" si="7"/>
        <v>201</v>
      </c>
      <c r="K202" s="32" t="e">
        <f>SMALL('OPERACIONES DE FORMULAS'!$D$5:$D$35,ROW()-1)</f>
        <v>#NUM!</v>
      </c>
    </row>
    <row r="203" spans="1:11" x14ac:dyDescent="0.25">
      <c r="A203" s="36" t="str">
        <f t="shared" si="6"/>
        <v>00</v>
      </c>
      <c r="B203" s="37">
        <f>INDEX(CANCIONES!C$5:C$2500,SMALL('OPERACIONES DE FORMULAS'!$D$5:$D$300,ROW()-1)-4)</f>
        <v>0</v>
      </c>
      <c r="C203" s="36">
        <f>INDEX(CANCIONES!D$5:D$2500,SMALL('OPERACIONES DE FORMULAS'!$D$5:$D$300,ROW()-1)-4)</f>
        <v>0</v>
      </c>
      <c r="D203" s="37">
        <f>INDEX(CANCIONES!E$5:E$2500,SMALL('OPERACIONES DE FORMULAS'!$D$5:$D$300,ROW()-1)-4)</f>
        <v>0</v>
      </c>
      <c r="E203" s="36">
        <f>INDEX(CANCIONES!F$5:F$2500,SMALL('OPERACIONES DE FORMULAS'!$D$5:$D$300,ROW()-1)-4)</f>
        <v>0</v>
      </c>
      <c r="F203" s="37">
        <f>INDEX(CANCIONES!G$5:G$2500,SMALL('OPERACIONES DE FORMULAS'!$D$5:$D$300,ROW()-1)-4)</f>
        <v>0</v>
      </c>
      <c r="G203" s="36">
        <f>INDEX(CANCIONES!H$5:H$2500,SMALL('OPERACIONES DE FORMULAS'!$D$5:$D$300,ROW()-1)-4)</f>
        <v>0</v>
      </c>
      <c r="H203" s="37">
        <f t="shared" si="7"/>
        <v>202</v>
      </c>
      <c r="K203" s="31" t="e">
        <f>SMALL('OPERACIONES DE FORMULAS'!$D$5:$D$35,ROW()-1)</f>
        <v>#NUM!</v>
      </c>
    </row>
    <row r="204" spans="1:11" x14ac:dyDescent="0.25">
      <c r="A204" s="33" t="str">
        <f t="shared" si="6"/>
        <v>00</v>
      </c>
      <c r="B204" s="34">
        <f>INDEX(CANCIONES!C$5:C$2500,SMALL('OPERACIONES DE FORMULAS'!$D$5:$D$300,ROW()-1)-4)</f>
        <v>0</v>
      </c>
      <c r="C204" s="35">
        <f>INDEX(CANCIONES!D$5:D$2500,SMALL('OPERACIONES DE FORMULAS'!$D$5:$D$300,ROW()-1)-4)</f>
        <v>0</v>
      </c>
      <c r="D204" s="34">
        <f>INDEX(CANCIONES!E$5:E$2500,SMALL('OPERACIONES DE FORMULAS'!$D$5:$D$300,ROW()-1)-4)</f>
        <v>0</v>
      </c>
      <c r="E204" s="35">
        <f>INDEX(CANCIONES!F$5:F$2500,SMALL('OPERACIONES DE FORMULAS'!$D$5:$D$300,ROW()-1)-4)</f>
        <v>0</v>
      </c>
      <c r="F204" s="34">
        <f>INDEX(CANCIONES!G$5:G$2500,SMALL('OPERACIONES DE FORMULAS'!$D$5:$D$300,ROW()-1)-4)</f>
        <v>0</v>
      </c>
      <c r="G204" s="35">
        <f>INDEX(CANCIONES!H$5:H$2500,SMALL('OPERACIONES DE FORMULAS'!$D$5:$D$300,ROW()-1)-4)</f>
        <v>0</v>
      </c>
      <c r="H204" s="34">
        <f t="shared" si="7"/>
        <v>203</v>
      </c>
      <c r="K204" s="32" t="e">
        <f>SMALL('OPERACIONES DE FORMULAS'!$D$5:$D$35,ROW()-1)</f>
        <v>#NUM!</v>
      </c>
    </row>
    <row r="205" spans="1:11" x14ac:dyDescent="0.25">
      <c r="A205" s="36" t="str">
        <f t="shared" si="6"/>
        <v>00</v>
      </c>
      <c r="B205" s="37">
        <f>INDEX(CANCIONES!C$5:C$2500,SMALL('OPERACIONES DE FORMULAS'!$D$5:$D$300,ROW()-1)-4)</f>
        <v>0</v>
      </c>
      <c r="C205" s="36">
        <f>INDEX(CANCIONES!D$5:D$2500,SMALL('OPERACIONES DE FORMULAS'!$D$5:$D$300,ROW()-1)-4)</f>
        <v>0</v>
      </c>
      <c r="D205" s="37">
        <f>INDEX(CANCIONES!E$5:E$2500,SMALL('OPERACIONES DE FORMULAS'!$D$5:$D$300,ROW()-1)-4)</f>
        <v>0</v>
      </c>
      <c r="E205" s="36">
        <f>INDEX(CANCIONES!F$5:F$2500,SMALL('OPERACIONES DE FORMULAS'!$D$5:$D$300,ROW()-1)-4)</f>
        <v>0</v>
      </c>
      <c r="F205" s="37">
        <f>INDEX(CANCIONES!G$5:G$2500,SMALL('OPERACIONES DE FORMULAS'!$D$5:$D$300,ROW()-1)-4)</f>
        <v>0</v>
      </c>
      <c r="G205" s="36">
        <f>INDEX(CANCIONES!H$5:H$2500,SMALL('OPERACIONES DE FORMULAS'!$D$5:$D$300,ROW()-1)-4)</f>
        <v>0</v>
      </c>
      <c r="H205" s="37">
        <f t="shared" si="7"/>
        <v>204</v>
      </c>
      <c r="K205" s="31" t="e">
        <f>SMALL('OPERACIONES DE FORMULAS'!$D$5:$D$35,ROW()-1)</f>
        <v>#NUM!</v>
      </c>
    </row>
    <row r="206" spans="1:11" x14ac:dyDescent="0.25">
      <c r="A206" s="33" t="str">
        <f t="shared" si="6"/>
        <v>00</v>
      </c>
      <c r="B206" s="34">
        <f>INDEX(CANCIONES!C$5:C$2500,SMALL('OPERACIONES DE FORMULAS'!$D$5:$D$300,ROW()-1)-4)</f>
        <v>0</v>
      </c>
      <c r="C206" s="35">
        <f>INDEX(CANCIONES!D$5:D$2500,SMALL('OPERACIONES DE FORMULAS'!$D$5:$D$300,ROW()-1)-4)</f>
        <v>0</v>
      </c>
      <c r="D206" s="34">
        <f>INDEX(CANCIONES!E$5:E$2500,SMALL('OPERACIONES DE FORMULAS'!$D$5:$D$300,ROW()-1)-4)</f>
        <v>0</v>
      </c>
      <c r="E206" s="35">
        <f>INDEX(CANCIONES!F$5:F$2500,SMALL('OPERACIONES DE FORMULAS'!$D$5:$D$300,ROW()-1)-4)</f>
        <v>0</v>
      </c>
      <c r="F206" s="34">
        <f>INDEX(CANCIONES!G$5:G$2500,SMALL('OPERACIONES DE FORMULAS'!$D$5:$D$300,ROW()-1)-4)</f>
        <v>0</v>
      </c>
      <c r="G206" s="35">
        <f>INDEX(CANCIONES!H$5:H$2500,SMALL('OPERACIONES DE FORMULAS'!$D$5:$D$300,ROW()-1)-4)</f>
        <v>0</v>
      </c>
      <c r="H206" s="34">
        <f t="shared" si="7"/>
        <v>205</v>
      </c>
      <c r="K206" s="32" t="e">
        <f>SMALL('OPERACIONES DE FORMULAS'!$D$5:$D$35,ROW()-1)</f>
        <v>#NUM!</v>
      </c>
    </row>
    <row r="207" spans="1:11" x14ac:dyDescent="0.25">
      <c r="A207" s="36" t="str">
        <f t="shared" si="6"/>
        <v>00</v>
      </c>
      <c r="B207" s="37">
        <f>INDEX(CANCIONES!C$5:C$2500,SMALL('OPERACIONES DE FORMULAS'!$D$5:$D$300,ROW()-1)-4)</f>
        <v>0</v>
      </c>
      <c r="C207" s="36">
        <f>INDEX(CANCIONES!D$5:D$2500,SMALL('OPERACIONES DE FORMULAS'!$D$5:$D$300,ROW()-1)-4)</f>
        <v>0</v>
      </c>
      <c r="D207" s="37">
        <f>INDEX(CANCIONES!E$5:E$2500,SMALL('OPERACIONES DE FORMULAS'!$D$5:$D$300,ROW()-1)-4)</f>
        <v>0</v>
      </c>
      <c r="E207" s="36">
        <f>INDEX(CANCIONES!F$5:F$2500,SMALL('OPERACIONES DE FORMULAS'!$D$5:$D$300,ROW()-1)-4)</f>
        <v>0</v>
      </c>
      <c r="F207" s="37">
        <f>INDEX(CANCIONES!G$5:G$2500,SMALL('OPERACIONES DE FORMULAS'!$D$5:$D$300,ROW()-1)-4)</f>
        <v>0</v>
      </c>
      <c r="G207" s="36">
        <f>INDEX(CANCIONES!H$5:H$2500,SMALL('OPERACIONES DE FORMULAS'!$D$5:$D$300,ROW()-1)-4)</f>
        <v>0</v>
      </c>
      <c r="H207" s="37">
        <f t="shared" si="7"/>
        <v>206</v>
      </c>
      <c r="K207" s="31" t="e">
        <f>SMALL('OPERACIONES DE FORMULAS'!$D$5:$D$35,ROW()-1)</f>
        <v>#NUM!</v>
      </c>
    </row>
    <row r="208" spans="1:11" x14ac:dyDescent="0.25">
      <c r="A208" s="33" t="str">
        <f t="shared" si="6"/>
        <v>00</v>
      </c>
      <c r="B208" s="34">
        <f>INDEX(CANCIONES!C$5:C$2500,SMALL('OPERACIONES DE FORMULAS'!$D$5:$D$300,ROW()-1)-4)</f>
        <v>0</v>
      </c>
      <c r="C208" s="35">
        <f>INDEX(CANCIONES!D$5:D$2500,SMALL('OPERACIONES DE FORMULAS'!$D$5:$D$300,ROW()-1)-4)</f>
        <v>0</v>
      </c>
      <c r="D208" s="34">
        <f>INDEX(CANCIONES!E$5:E$2500,SMALL('OPERACIONES DE FORMULAS'!$D$5:$D$300,ROW()-1)-4)</f>
        <v>0</v>
      </c>
      <c r="E208" s="35">
        <f>INDEX(CANCIONES!F$5:F$2500,SMALL('OPERACIONES DE FORMULAS'!$D$5:$D$300,ROW()-1)-4)</f>
        <v>0</v>
      </c>
      <c r="F208" s="34">
        <f>INDEX(CANCIONES!G$5:G$2500,SMALL('OPERACIONES DE FORMULAS'!$D$5:$D$300,ROW()-1)-4)</f>
        <v>0</v>
      </c>
      <c r="G208" s="35">
        <f>INDEX(CANCIONES!H$5:H$2500,SMALL('OPERACIONES DE FORMULAS'!$D$5:$D$300,ROW()-1)-4)</f>
        <v>0</v>
      </c>
      <c r="H208" s="34">
        <f t="shared" si="7"/>
        <v>207</v>
      </c>
      <c r="K208" s="32" t="e">
        <f>SMALL('OPERACIONES DE FORMULAS'!$D$5:$D$35,ROW()-1)</f>
        <v>#NUM!</v>
      </c>
    </row>
    <row r="209" spans="1:11" x14ac:dyDescent="0.25">
      <c r="A209" s="36" t="str">
        <f t="shared" si="6"/>
        <v>00</v>
      </c>
      <c r="B209" s="37">
        <f>INDEX(CANCIONES!C$5:C$2500,SMALL('OPERACIONES DE FORMULAS'!$D$5:$D$300,ROW()-1)-4)</f>
        <v>0</v>
      </c>
      <c r="C209" s="36">
        <f>INDEX(CANCIONES!D$5:D$2500,SMALL('OPERACIONES DE FORMULAS'!$D$5:$D$300,ROW()-1)-4)</f>
        <v>0</v>
      </c>
      <c r="D209" s="37">
        <f>INDEX(CANCIONES!E$5:E$2500,SMALL('OPERACIONES DE FORMULAS'!$D$5:$D$300,ROW()-1)-4)</f>
        <v>0</v>
      </c>
      <c r="E209" s="36">
        <f>INDEX(CANCIONES!F$5:F$2500,SMALL('OPERACIONES DE FORMULAS'!$D$5:$D$300,ROW()-1)-4)</f>
        <v>0</v>
      </c>
      <c r="F209" s="37">
        <f>INDEX(CANCIONES!G$5:G$2500,SMALL('OPERACIONES DE FORMULAS'!$D$5:$D$300,ROW()-1)-4)</f>
        <v>0</v>
      </c>
      <c r="G209" s="36">
        <f>INDEX(CANCIONES!H$5:H$2500,SMALL('OPERACIONES DE FORMULAS'!$D$5:$D$300,ROW()-1)-4)</f>
        <v>0</v>
      </c>
      <c r="H209" s="37">
        <f t="shared" si="7"/>
        <v>208</v>
      </c>
      <c r="K209" s="31" t="e">
        <f>SMALL('OPERACIONES DE FORMULAS'!$D$5:$D$35,ROW()-1)</f>
        <v>#NUM!</v>
      </c>
    </row>
    <row r="210" spans="1:11" x14ac:dyDescent="0.25">
      <c r="A210" s="33" t="str">
        <f t="shared" si="6"/>
        <v>00</v>
      </c>
      <c r="B210" s="34">
        <f>INDEX(CANCIONES!C$5:C$2500,SMALL('OPERACIONES DE FORMULAS'!$D$5:$D$300,ROW()-1)-4)</f>
        <v>0</v>
      </c>
      <c r="C210" s="35">
        <f>INDEX(CANCIONES!D$5:D$2500,SMALL('OPERACIONES DE FORMULAS'!$D$5:$D$300,ROW()-1)-4)</f>
        <v>0</v>
      </c>
      <c r="D210" s="34">
        <f>INDEX(CANCIONES!E$5:E$2500,SMALL('OPERACIONES DE FORMULAS'!$D$5:$D$300,ROW()-1)-4)</f>
        <v>0</v>
      </c>
      <c r="E210" s="35">
        <f>INDEX(CANCIONES!F$5:F$2500,SMALL('OPERACIONES DE FORMULAS'!$D$5:$D$300,ROW()-1)-4)</f>
        <v>0</v>
      </c>
      <c r="F210" s="34">
        <f>INDEX(CANCIONES!G$5:G$2500,SMALL('OPERACIONES DE FORMULAS'!$D$5:$D$300,ROW()-1)-4)</f>
        <v>0</v>
      </c>
      <c r="G210" s="35">
        <f>INDEX(CANCIONES!H$5:H$2500,SMALL('OPERACIONES DE FORMULAS'!$D$5:$D$300,ROW()-1)-4)</f>
        <v>0</v>
      </c>
      <c r="H210" s="34">
        <f t="shared" si="7"/>
        <v>209</v>
      </c>
      <c r="K210" s="32" t="e">
        <f>SMALL('OPERACIONES DE FORMULAS'!$D$5:$D$35,ROW()-1)</f>
        <v>#NUM!</v>
      </c>
    </row>
    <row r="211" spans="1:11" x14ac:dyDescent="0.25">
      <c r="A211" s="36" t="str">
        <f t="shared" si="6"/>
        <v>00</v>
      </c>
      <c r="B211" s="37">
        <f>INDEX(CANCIONES!C$5:C$2500,SMALL('OPERACIONES DE FORMULAS'!$D$5:$D$300,ROW()-1)-4)</f>
        <v>0</v>
      </c>
      <c r="C211" s="36">
        <f>INDEX(CANCIONES!D$5:D$2500,SMALL('OPERACIONES DE FORMULAS'!$D$5:$D$300,ROW()-1)-4)</f>
        <v>0</v>
      </c>
      <c r="D211" s="37">
        <f>INDEX(CANCIONES!E$5:E$2500,SMALL('OPERACIONES DE FORMULAS'!$D$5:$D$300,ROW()-1)-4)</f>
        <v>0</v>
      </c>
      <c r="E211" s="36">
        <f>INDEX(CANCIONES!F$5:F$2500,SMALL('OPERACIONES DE FORMULAS'!$D$5:$D$300,ROW()-1)-4)</f>
        <v>0</v>
      </c>
      <c r="F211" s="37">
        <f>INDEX(CANCIONES!G$5:G$2500,SMALL('OPERACIONES DE FORMULAS'!$D$5:$D$300,ROW()-1)-4)</f>
        <v>0</v>
      </c>
      <c r="G211" s="36">
        <f>INDEX(CANCIONES!H$5:H$2500,SMALL('OPERACIONES DE FORMULAS'!$D$5:$D$300,ROW()-1)-4)</f>
        <v>0</v>
      </c>
      <c r="H211" s="37">
        <f t="shared" si="7"/>
        <v>210</v>
      </c>
      <c r="K211" s="31" t="e">
        <f>SMALL('OPERACIONES DE FORMULAS'!$D$5:$D$35,ROW()-1)</f>
        <v>#NUM!</v>
      </c>
    </row>
    <row r="212" spans="1:11" x14ac:dyDescent="0.25">
      <c r="A212" s="33" t="str">
        <f t="shared" si="6"/>
        <v>00</v>
      </c>
      <c r="B212" s="34">
        <f>INDEX(CANCIONES!C$5:C$2500,SMALL('OPERACIONES DE FORMULAS'!$D$5:$D$300,ROW()-1)-4)</f>
        <v>0</v>
      </c>
      <c r="C212" s="35">
        <f>INDEX(CANCIONES!D$5:D$2500,SMALL('OPERACIONES DE FORMULAS'!$D$5:$D$300,ROW()-1)-4)</f>
        <v>0</v>
      </c>
      <c r="D212" s="34">
        <f>INDEX(CANCIONES!E$5:E$2500,SMALL('OPERACIONES DE FORMULAS'!$D$5:$D$300,ROW()-1)-4)</f>
        <v>0</v>
      </c>
      <c r="E212" s="35">
        <f>INDEX(CANCIONES!F$5:F$2500,SMALL('OPERACIONES DE FORMULAS'!$D$5:$D$300,ROW()-1)-4)</f>
        <v>0</v>
      </c>
      <c r="F212" s="34">
        <f>INDEX(CANCIONES!G$5:G$2500,SMALL('OPERACIONES DE FORMULAS'!$D$5:$D$300,ROW()-1)-4)</f>
        <v>0</v>
      </c>
      <c r="G212" s="35">
        <f>INDEX(CANCIONES!H$5:H$2500,SMALL('OPERACIONES DE FORMULAS'!$D$5:$D$300,ROW()-1)-4)</f>
        <v>0</v>
      </c>
      <c r="H212" s="34">
        <f t="shared" si="7"/>
        <v>211</v>
      </c>
      <c r="K212" s="32" t="e">
        <f>SMALL('OPERACIONES DE FORMULAS'!$D$5:$D$35,ROW()-1)</f>
        <v>#NUM!</v>
      </c>
    </row>
    <row r="213" spans="1:11" x14ac:dyDescent="0.25">
      <c r="A213" s="36" t="str">
        <f t="shared" si="6"/>
        <v>00</v>
      </c>
      <c r="B213" s="37">
        <f>INDEX(CANCIONES!C$5:C$2500,SMALL('OPERACIONES DE FORMULAS'!$D$5:$D$300,ROW()-1)-4)</f>
        <v>0</v>
      </c>
      <c r="C213" s="36">
        <f>INDEX(CANCIONES!D$5:D$2500,SMALL('OPERACIONES DE FORMULAS'!$D$5:$D$300,ROW()-1)-4)</f>
        <v>0</v>
      </c>
      <c r="D213" s="37">
        <f>INDEX(CANCIONES!E$5:E$2500,SMALL('OPERACIONES DE FORMULAS'!$D$5:$D$300,ROW()-1)-4)</f>
        <v>0</v>
      </c>
      <c r="E213" s="36">
        <f>INDEX(CANCIONES!F$5:F$2500,SMALL('OPERACIONES DE FORMULAS'!$D$5:$D$300,ROW()-1)-4)</f>
        <v>0</v>
      </c>
      <c r="F213" s="37">
        <f>INDEX(CANCIONES!G$5:G$2500,SMALL('OPERACIONES DE FORMULAS'!$D$5:$D$300,ROW()-1)-4)</f>
        <v>0</v>
      </c>
      <c r="G213" s="36">
        <f>INDEX(CANCIONES!H$5:H$2500,SMALL('OPERACIONES DE FORMULAS'!$D$5:$D$300,ROW()-1)-4)</f>
        <v>0</v>
      </c>
      <c r="H213" s="37">
        <f t="shared" si="7"/>
        <v>212</v>
      </c>
      <c r="K213" s="31" t="e">
        <f>SMALL('OPERACIONES DE FORMULAS'!$D$5:$D$35,ROW()-1)</f>
        <v>#NUM!</v>
      </c>
    </row>
    <row r="214" spans="1:11" x14ac:dyDescent="0.25">
      <c r="A214" s="33" t="str">
        <f t="shared" si="6"/>
        <v>00</v>
      </c>
      <c r="B214" s="34">
        <f>INDEX(CANCIONES!C$5:C$2500,SMALL('OPERACIONES DE FORMULAS'!$D$5:$D$300,ROW()-1)-4)</f>
        <v>0</v>
      </c>
      <c r="C214" s="35">
        <f>INDEX(CANCIONES!D$5:D$2500,SMALL('OPERACIONES DE FORMULAS'!$D$5:$D$300,ROW()-1)-4)</f>
        <v>0</v>
      </c>
      <c r="D214" s="34">
        <f>INDEX(CANCIONES!E$5:E$2500,SMALL('OPERACIONES DE FORMULAS'!$D$5:$D$300,ROW()-1)-4)</f>
        <v>0</v>
      </c>
      <c r="E214" s="35">
        <f>INDEX(CANCIONES!F$5:F$2500,SMALL('OPERACIONES DE FORMULAS'!$D$5:$D$300,ROW()-1)-4)</f>
        <v>0</v>
      </c>
      <c r="F214" s="34">
        <f>INDEX(CANCIONES!G$5:G$2500,SMALL('OPERACIONES DE FORMULAS'!$D$5:$D$300,ROW()-1)-4)</f>
        <v>0</v>
      </c>
      <c r="G214" s="35">
        <f>INDEX(CANCIONES!H$5:H$2500,SMALL('OPERACIONES DE FORMULAS'!$D$5:$D$300,ROW()-1)-4)</f>
        <v>0</v>
      </c>
      <c r="H214" s="34">
        <f t="shared" si="7"/>
        <v>213</v>
      </c>
      <c r="K214" s="32" t="e">
        <f>SMALL('OPERACIONES DE FORMULAS'!$D$5:$D$35,ROW()-1)</f>
        <v>#NUM!</v>
      </c>
    </row>
    <row r="215" spans="1:11" x14ac:dyDescent="0.25">
      <c r="A215" s="36" t="str">
        <f t="shared" si="6"/>
        <v>00</v>
      </c>
      <c r="B215" s="37">
        <f>INDEX(CANCIONES!C$5:C$2500,SMALL('OPERACIONES DE FORMULAS'!$D$5:$D$300,ROW()-1)-4)</f>
        <v>0</v>
      </c>
      <c r="C215" s="36">
        <f>INDEX(CANCIONES!D$5:D$2500,SMALL('OPERACIONES DE FORMULAS'!$D$5:$D$300,ROW()-1)-4)</f>
        <v>0</v>
      </c>
      <c r="D215" s="37">
        <f>INDEX(CANCIONES!E$5:E$2500,SMALL('OPERACIONES DE FORMULAS'!$D$5:$D$300,ROW()-1)-4)</f>
        <v>0</v>
      </c>
      <c r="E215" s="36">
        <f>INDEX(CANCIONES!F$5:F$2500,SMALL('OPERACIONES DE FORMULAS'!$D$5:$D$300,ROW()-1)-4)</f>
        <v>0</v>
      </c>
      <c r="F215" s="37">
        <f>INDEX(CANCIONES!G$5:G$2500,SMALL('OPERACIONES DE FORMULAS'!$D$5:$D$300,ROW()-1)-4)</f>
        <v>0</v>
      </c>
      <c r="G215" s="36">
        <f>INDEX(CANCIONES!H$5:H$2500,SMALL('OPERACIONES DE FORMULAS'!$D$5:$D$300,ROW()-1)-4)</f>
        <v>0</v>
      </c>
      <c r="H215" s="37">
        <f t="shared" si="7"/>
        <v>214</v>
      </c>
      <c r="K215" s="31" t="e">
        <f>SMALL('OPERACIONES DE FORMULAS'!$D$5:$D$35,ROW()-1)</f>
        <v>#NUM!</v>
      </c>
    </row>
    <row r="216" spans="1:11" x14ac:dyDescent="0.25">
      <c r="A216" s="33" t="str">
        <f t="shared" si="6"/>
        <v>00</v>
      </c>
      <c r="B216" s="34">
        <f>INDEX(CANCIONES!C$5:C$2500,SMALL('OPERACIONES DE FORMULAS'!$D$5:$D$300,ROW()-1)-4)</f>
        <v>0</v>
      </c>
      <c r="C216" s="35">
        <f>INDEX(CANCIONES!D$5:D$2500,SMALL('OPERACIONES DE FORMULAS'!$D$5:$D$300,ROW()-1)-4)</f>
        <v>0</v>
      </c>
      <c r="D216" s="34">
        <f>INDEX(CANCIONES!E$5:E$2500,SMALL('OPERACIONES DE FORMULAS'!$D$5:$D$300,ROW()-1)-4)</f>
        <v>0</v>
      </c>
      <c r="E216" s="35">
        <f>INDEX(CANCIONES!F$5:F$2500,SMALL('OPERACIONES DE FORMULAS'!$D$5:$D$300,ROW()-1)-4)</f>
        <v>0</v>
      </c>
      <c r="F216" s="34">
        <f>INDEX(CANCIONES!G$5:G$2500,SMALL('OPERACIONES DE FORMULAS'!$D$5:$D$300,ROW()-1)-4)</f>
        <v>0</v>
      </c>
      <c r="G216" s="35">
        <f>INDEX(CANCIONES!H$5:H$2500,SMALL('OPERACIONES DE FORMULAS'!$D$5:$D$300,ROW()-1)-4)</f>
        <v>0</v>
      </c>
      <c r="H216" s="34">
        <f t="shared" si="7"/>
        <v>215</v>
      </c>
      <c r="K216" s="32" t="e">
        <f>SMALL('OPERACIONES DE FORMULAS'!$D$5:$D$35,ROW()-1)</f>
        <v>#NUM!</v>
      </c>
    </row>
    <row r="217" spans="1:11" x14ac:dyDescent="0.25">
      <c r="A217" s="36" t="str">
        <f t="shared" si="6"/>
        <v>00</v>
      </c>
      <c r="B217" s="37">
        <f>INDEX(CANCIONES!C$5:C$2500,SMALL('OPERACIONES DE FORMULAS'!$D$5:$D$300,ROW()-1)-4)</f>
        <v>0</v>
      </c>
      <c r="C217" s="36">
        <f>INDEX(CANCIONES!D$5:D$2500,SMALL('OPERACIONES DE FORMULAS'!$D$5:$D$300,ROW()-1)-4)</f>
        <v>0</v>
      </c>
      <c r="D217" s="37">
        <f>INDEX(CANCIONES!E$5:E$2500,SMALL('OPERACIONES DE FORMULAS'!$D$5:$D$300,ROW()-1)-4)</f>
        <v>0</v>
      </c>
      <c r="E217" s="36">
        <f>INDEX(CANCIONES!F$5:F$2500,SMALL('OPERACIONES DE FORMULAS'!$D$5:$D$300,ROW()-1)-4)</f>
        <v>0</v>
      </c>
      <c r="F217" s="37">
        <f>INDEX(CANCIONES!G$5:G$2500,SMALL('OPERACIONES DE FORMULAS'!$D$5:$D$300,ROW()-1)-4)</f>
        <v>0</v>
      </c>
      <c r="G217" s="36">
        <f>INDEX(CANCIONES!H$5:H$2500,SMALL('OPERACIONES DE FORMULAS'!$D$5:$D$300,ROW()-1)-4)</f>
        <v>0</v>
      </c>
      <c r="H217" s="37">
        <f t="shared" si="7"/>
        <v>216</v>
      </c>
      <c r="K217" s="31" t="e">
        <f>SMALL('OPERACIONES DE FORMULAS'!$D$5:$D$35,ROW()-1)</f>
        <v>#NUM!</v>
      </c>
    </row>
    <row r="218" spans="1:11" x14ac:dyDescent="0.25">
      <c r="A218" s="33" t="str">
        <f t="shared" si="6"/>
        <v>00</v>
      </c>
      <c r="B218" s="34">
        <f>INDEX(CANCIONES!C$5:C$2500,SMALL('OPERACIONES DE FORMULAS'!$D$5:$D$300,ROW()-1)-4)</f>
        <v>0</v>
      </c>
      <c r="C218" s="35">
        <f>INDEX(CANCIONES!D$5:D$2500,SMALL('OPERACIONES DE FORMULAS'!$D$5:$D$300,ROW()-1)-4)</f>
        <v>0</v>
      </c>
      <c r="D218" s="34">
        <f>INDEX(CANCIONES!E$5:E$2500,SMALL('OPERACIONES DE FORMULAS'!$D$5:$D$300,ROW()-1)-4)</f>
        <v>0</v>
      </c>
      <c r="E218" s="35">
        <f>INDEX(CANCIONES!F$5:F$2500,SMALL('OPERACIONES DE FORMULAS'!$D$5:$D$300,ROW()-1)-4)</f>
        <v>0</v>
      </c>
      <c r="F218" s="34">
        <f>INDEX(CANCIONES!G$5:G$2500,SMALL('OPERACIONES DE FORMULAS'!$D$5:$D$300,ROW()-1)-4)</f>
        <v>0</v>
      </c>
      <c r="G218" s="35">
        <f>INDEX(CANCIONES!H$5:H$2500,SMALL('OPERACIONES DE FORMULAS'!$D$5:$D$300,ROW()-1)-4)</f>
        <v>0</v>
      </c>
      <c r="H218" s="34">
        <f t="shared" si="7"/>
        <v>217</v>
      </c>
      <c r="K218" s="32" t="e">
        <f>SMALL('OPERACIONES DE FORMULAS'!$D$5:$D$35,ROW()-1)</f>
        <v>#NUM!</v>
      </c>
    </row>
    <row r="219" spans="1:11" x14ac:dyDescent="0.25">
      <c r="A219" s="36" t="str">
        <f t="shared" si="6"/>
        <v>00</v>
      </c>
      <c r="B219" s="37">
        <f>INDEX(CANCIONES!C$5:C$2500,SMALL('OPERACIONES DE FORMULAS'!$D$5:$D$300,ROW()-1)-4)</f>
        <v>0</v>
      </c>
      <c r="C219" s="36">
        <f>INDEX(CANCIONES!D$5:D$2500,SMALL('OPERACIONES DE FORMULAS'!$D$5:$D$300,ROW()-1)-4)</f>
        <v>0</v>
      </c>
      <c r="D219" s="37">
        <f>INDEX(CANCIONES!E$5:E$2500,SMALL('OPERACIONES DE FORMULAS'!$D$5:$D$300,ROW()-1)-4)</f>
        <v>0</v>
      </c>
      <c r="E219" s="36">
        <f>INDEX(CANCIONES!F$5:F$2500,SMALL('OPERACIONES DE FORMULAS'!$D$5:$D$300,ROW()-1)-4)</f>
        <v>0</v>
      </c>
      <c r="F219" s="37">
        <f>INDEX(CANCIONES!G$5:G$2500,SMALL('OPERACIONES DE FORMULAS'!$D$5:$D$300,ROW()-1)-4)</f>
        <v>0</v>
      </c>
      <c r="G219" s="36">
        <f>INDEX(CANCIONES!H$5:H$2500,SMALL('OPERACIONES DE FORMULAS'!$D$5:$D$300,ROW()-1)-4)</f>
        <v>0</v>
      </c>
      <c r="H219" s="37">
        <f t="shared" si="7"/>
        <v>218</v>
      </c>
      <c r="K219" s="31" t="e">
        <f>SMALL('OPERACIONES DE FORMULAS'!$D$5:$D$35,ROW()-1)</f>
        <v>#NUM!</v>
      </c>
    </row>
    <row r="220" spans="1:11" x14ac:dyDescent="0.25">
      <c r="A220" s="33" t="str">
        <f t="shared" si="6"/>
        <v>00</v>
      </c>
      <c r="B220" s="34">
        <f>INDEX(CANCIONES!C$5:C$2500,SMALL('OPERACIONES DE FORMULAS'!$D$5:$D$300,ROW()-1)-4)</f>
        <v>0</v>
      </c>
      <c r="C220" s="35">
        <f>INDEX(CANCIONES!D$5:D$2500,SMALL('OPERACIONES DE FORMULAS'!$D$5:$D$300,ROW()-1)-4)</f>
        <v>0</v>
      </c>
      <c r="D220" s="34">
        <f>INDEX(CANCIONES!E$5:E$2500,SMALL('OPERACIONES DE FORMULAS'!$D$5:$D$300,ROW()-1)-4)</f>
        <v>0</v>
      </c>
      <c r="E220" s="35">
        <f>INDEX(CANCIONES!F$5:F$2500,SMALL('OPERACIONES DE FORMULAS'!$D$5:$D$300,ROW()-1)-4)</f>
        <v>0</v>
      </c>
      <c r="F220" s="34">
        <f>INDEX(CANCIONES!G$5:G$2500,SMALL('OPERACIONES DE FORMULAS'!$D$5:$D$300,ROW()-1)-4)</f>
        <v>0</v>
      </c>
      <c r="G220" s="35">
        <f>INDEX(CANCIONES!H$5:H$2500,SMALL('OPERACIONES DE FORMULAS'!$D$5:$D$300,ROW()-1)-4)</f>
        <v>0</v>
      </c>
      <c r="H220" s="34">
        <f t="shared" si="7"/>
        <v>219</v>
      </c>
      <c r="K220" s="32" t="e">
        <f>SMALL('OPERACIONES DE FORMULAS'!$D$5:$D$35,ROW()-1)</f>
        <v>#NUM!</v>
      </c>
    </row>
    <row r="221" spans="1:11" x14ac:dyDescent="0.25">
      <c r="A221" s="36" t="str">
        <f t="shared" si="6"/>
        <v>00</v>
      </c>
      <c r="B221" s="37">
        <f>INDEX(CANCIONES!C$5:C$2500,SMALL('OPERACIONES DE FORMULAS'!$D$5:$D$300,ROW()-1)-4)</f>
        <v>0</v>
      </c>
      <c r="C221" s="36">
        <f>INDEX(CANCIONES!D$5:D$2500,SMALL('OPERACIONES DE FORMULAS'!$D$5:$D$300,ROW()-1)-4)</f>
        <v>0</v>
      </c>
      <c r="D221" s="37">
        <f>INDEX(CANCIONES!E$5:E$2500,SMALL('OPERACIONES DE FORMULAS'!$D$5:$D$300,ROW()-1)-4)</f>
        <v>0</v>
      </c>
      <c r="E221" s="36">
        <f>INDEX(CANCIONES!F$5:F$2500,SMALL('OPERACIONES DE FORMULAS'!$D$5:$D$300,ROW()-1)-4)</f>
        <v>0</v>
      </c>
      <c r="F221" s="37">
        <f>INDEX(CANCIONES!G$5:G$2500,SMALL('OPERACIONES DE FORMULAS'!$D$5:$D$300,ROW()-1)-4)</f>
        <v>0</v>
      </c>
      <c r="G221" s="36">
        <f>INDEX(CANCIONES!H$5:H$2500,SMALL('OPERACIONES DE FORMULAS'!$D$5:$D$300,ROW()-1)-4)</f>
        <v>0</v>
      </c>
      <c r="H221" s="37">
        <f t="shared" si="7"/>
        <v>220</v>
      </c>
      <c r="K221" s="31" t="e">
        <f>SMALL('OPERACIONES DE FORMULAS'!$D$5:$D$35,ROW()-1)</f>
        <v>#NUM!</v>
      </c>
    </row>
    <row r="222" spans="1:11" x14ac:dyDescent="0.25">
      <c r="A222" s="33" t="str">
        <f t="shared" si="6"/>
        <v>00</v>
      </c>
      <c r="B222" s="34">
        <f>INDEX(CANCIONES!C$5:C$2500,SMALL('OPERACIONES DE FORMULAS'!$D$5:$D$300,ROW()-1)-4)</f>
        <v>0</v>
      </c>
      <c r="C222" s="35">
        <f>INDEX(CANCIONES!D$5:D$2500,SMALL('OPERACIONES DE FORMULAS'!$D$5:$D$300,ROW()-1)-4)</f>
        <v>0</v>
      </c>
      <c r="D222" s="34">
        <f>INDEX(CANCIONES!E$5:E$2500,SMALL('OPERACIONES DE FORMULAS'!$D$5:$D$300,ROW()-1)-4)</f>
        <v>0</v>
      </c>
      <c r="E222" s="35">
        <f>INDEX(CANCIONES!F$5:F$2500,SMALL('OPERACIONES DE FORMULAS'!$D$5:$D$300,ROW()-1)-4)</f>
        <v>0</v>
      </c>
      <c r="F222" s="34">
        <f>INDEX(CANCIONES!G$5:G$2500,SMALL('OPERACIONES DE FORMULAS'!$D$5:$D$300,ROW()-1)-4)</f>
        <v>0</v>
      </c>
      <c r="G222" s="35">
        <f>INDEX(CANCIONES!H$5:H$2500,SMALL('OPERACIONES DE FORMULAS'!$D$5:$D$300,ROW()-1)-4)</f>
        <v>0</v>
      </c>
      <c r="H222" s="34">
        <f t="shared" si="7"/>
        <v>221</v>
      </c>
      <c r="K222" s="32" t="e">
        <f>SMALL('OPERACIONES DE FORMULAS'!$D$5:$D$35,ROW()-1)</f>
        <v>#NUM!</v>
      </c>
    </row>
    <row r="223" spans="1:11" x14ac:dyDescent="0.25">
      <c r="A223" s="36" t="str">
        <f t="shared" si="6"/>
        <v>00</v>
      </c>
      <c r="B223" s="37">
        <f>INDEX(CANCIONES!C$5:C$2500,SMALL('OPERACIONES DE FORMULAS'!$D$5:$D$300,ROW()-1)-4)</f>
        <v>0</v>
      </c>
      <c r="C223" s="36">
        <f>INDEX(CANCIONES!D$5:D$2500,SMALL('OPERACIONES DE FORMULAS'!$D$5:$D$300,ROW()-1)-4)</f>
        <v>0</v>
      </c>
      <c r="D223" s="37">
        <f>INDEX(CANCIONES!E$5:E$2500,SMALL('OPERACIONES DE FORMULAS'!$D$5:$D$300,ROW()-1)-4)</f>
        <v>0</v>
      </c>
      <c r="E223" s="36">
        <f>INDEX(CANCIONES!F$5:F$2500,SMALL('OPERACIONES DE FORMULAS'!$D$5:$D$300,ROW()-1)-4)</f>
        <v>0</v>
      </c>
      <c r="F223" s="37">
        <f>INDEX(CANCIONES!G$5:G$2500,SMALL('OPERACIONES DE FORMULAS'!$D$5:$D$300,ROW()-1)-4)</f>
        <v>0</v>
      </c>
      <c r="G223" s="36">
        <f>INDEX(CANCIONES!H$5:H$2500,SMALL('OPERACIONES DE FORMULAS'!$D$5:$D$300,ROW()-1)-4)</f>
        <v>0</v>
      </c>
      <c r="H223" s="37">
        <f t="shared" si="7"/>
        <v>222</v>
      </c>
      <c r="K223" s="31" t="e">
        <f>SMALL('OPERACIONES DE FORMULAS'!$D$5:$D$35,ROW()-1)</f>
        <v>#NUM!</v>
      </c>
    </row>
    <row r="224" spans="1:11" x14ac:dyDescent="0.25">
      <c r="A224" s="33" t="str">
        <f t="shared" si="6"/>
        <v>00</v>
      </c>
      <c r="B224" s="34">
        <f>INDEX(CANCIONES!C$5:C$2500,SMALL('OPERACIONES DE FORMULAS'!$D$5:$D$300,ROW()-1)-4)</f>
        <v>0</v>
      </c>
      <c r="C224" s="35">
        <f>INDEX(CANCIONES!D$5:D$2500,SMALL('OPERACIONES DE FORMULAS'!$D$5:$D$300,ROW()-1)-4)</f>
        <v>0</v>
      </c>
      <c r="D224" s="34">
        <f>INDEX(CANCIONES!E$5:E$2500,SMALL('OPERACIONES DE FORMULAS'!$D$5:$D$300,ROW()-1)-4)</f>
        <v>0</v>
      </c>
      <c r="E224" s="35">
        <f>INDEX(CANCIONES!F$5:F$2500,SMALL('OPERACIONES DE FORMULAS'!$D$5:$D$300,ROW()-1)-4)</f>
        <v>0</v>
      </c>
      <c r="F224" s="34">
        <f>INDEX(CANCIONES!G$5:G$2500,SMALL('OPERACIONES DE FORMULAS'!$D$5:$D$300,ROW()-1)-4)</f>
        <v>0</v>
      </c>
      <c r="G224" s="35">
        <f>INDEX(CANCIONES!H$5:H$2500,SMALL('OPERACIONES DE FORMULAS'!$D$5:$D$300,ROW()-1)-4)</f>
        <v>0</v>
      </c>
      <c r="H224" s="34">
        <f t="shared" si="7"/>
        <v>223</v>
      </c>
      <c r="K224" s="32" t="e">
        <f>SMALL('OPERACIONES DE FORMULAS'!$D$5:$D$35,ROW()-1)</f>
        <v>#NUM!</v>
      </c>
    </row>
    <row r="225" spans="1:11" x14ac:dyDescent="0.25">
      <c r="A225" s="36" t="str">
        <f t="shared" si="6"/>
        <v>00</v>
      </c>
      <c r="B225" s="37">
        <f>INDEX(CANCIONES!C$5:C$2500,SMALL('OPERACIONES DE FORMULAS'!$D$5:$D$300,ROW()-1)-4)</f>
        <v>0</v>
      </c>
      <c r="C225" s="36">
        <f>INDEX(CANCIONES!D$5:D$2500,SMALL('OPERACIONES DE FORMULAS'!$D$5:$D$300,ROW()-1)-4)</f>
        <v>0</v>
      </c>
      <c r="D225" s="37">
        <f>INDEX(CANCIONES!E$5:E$2500,SMALL('OPERACIONES DE FORMULAS'!$D$5:$D$300,ROW()-1)-4)</f>
        <v>0</v>
      </c>
      <c r="E225" s="36">
        <f>INDEX(CANCIONES!F$5:F$2500,SMALL('OPERACIONES DE FORMULAS'!$D$5:$D$300,ROW()-1)-4)</f>
        <v>0</v>
      </c>
      <c r="F225" s="37">
        <f>INDEX(CANCIONES!G$5:G$2500,SMALL('OPERACIONES DE FORMULAS'!$D$5:$D$300,ROW()-1)-4)</f>
        <v>0</v>
      </c>
      <c r="G225" s="36">
        <f>INDEX(CANCIONES!H$5:H$2500,SMALL('OPERACIONES DE FORMULAS'!$D$5:$D$300,ROW()-1)-4)</f>
        <v>0</v>
      </c>
      <c r="H225" s="37">
        <f t="shared" si="7"/>
        <v>224</v>
      </c>
      <c r="K225" s="31" t="e">
        <f>SMALL('OPERACIONES DE FORMULAS'!$D$5:$D$35,ROW()-1)</f>
        <v>#NUM!</v>
      </c>
    </row>
    <row r="226" spans="1:11" x14ac:dyDescent="0.25">
      <c r="A226" s="33" t="str">
        <f t="shared" si="6"/>
        <v>00</v>
      </c>
      <c r="B226" s="34">
        <f>INDEX(CANCIONES!C$5:C$2500,SMALL('OPERACIONES DE FORMULAS'!$D$5:$D$300,ROW()-1)-4)</f>
        <v>0</v>
      </c>
      <c r="C226" s="35">
        <f>INDEX(CANCIONES!D$5:D$2500,SMALL('OPERACIONES DE FORMULAS'!$D$5:$D$300,ROW()-1)-4)</f>
        <v>0</v>
      </c>
      <c r="D226" s="34">
        <f>INDEX(CANCIONES!E$5:E$2500,SMALL('OPERACIONES DE FORMULAS'!$D$5:$D$300,ROW()-1)-4)</f>
        <v>0</v>
      </c>
      <c r="E226" s="35">
        <f>INDEX(CANCIONES!F$5:F$2500,SMALL('OPERACIONES DE FORMULAS'!$D$5:$D$300,ROW()-1)-4)</f>
        <v>0</v>
      </c>
      <c r="F226" s="34">
        <f>INDEX(CANCIONES!G$5:G$2500,SMALL('OPERACIONES DE FORMULAS'!$D$5:$D$300,ROW()-1)-4)</f>
        <v>0</v>
      </c>
      <c r="G226" s="35">
        <f>INDEX(CANCIONES!H$5:H$2500,SMALL('OPERACIONES DE FORMULAS'!$D$5:$D$300,ROW()-1)-4)</f>
        <v>0</v>
      </c>
      <c r="H226" s="34">
        <f t="shared" si="7"/>
        <v>225</v>
      </c>
      <c r="K226" s="32" t="e">
        <f>SMALL('OPERACIONES DE FORMULAS'!$D$5:$D$35,ROW()-1)</f>
        <v>#NUM!</v>
      </c>
    </row>
    <row r="227" spans="1:11" x14ac:dyDescent="0.25">
      <c r="A227" s="36" t="str">
        <f t="shared" si="6"/>
        <v>00</v>
      </c>
      <c r="B227" s="37">
        <f>INDEX(CANCIONES!C$5:C$2500,SMALL('OPERACIONES DE FORMULAS'!$D$5:$D$300,ROW()-1)-4)</f>
        <v>0</v>
      </c>
      <c r="C227" s="36">
        <f>INDEX(CANCIONES!D$5:D$2500,SMALL('OPERACIONES DE FORMULAS'!$D$5:$D$300,ROW()-1)-4)</f>
        <v>0</v>
      </c>
      <c r="D227" s="37">
        <f>INDEX(CANCIONES!E$5:E$2500,SMALL('OPERACIONES DE FORMULAS'!$D$5:$D$300,ROW()-1)-4)</f>
        <v>0</v>
      </c>
      <c r="E227" s="36">
        <f>INDEX(CANCIONES!F$5:F$2500,SMALL('OPERACIONES DE FORMULAS'!$D$5:$D$300,ROW()-1)-4)</f>
        <v>0</v>
      </c>
      <c r="F227" s="37">
        <f>INDEX(CANCIONES!G$5:G$2500,SMALL('OPERACIONES DE FORMULAS'!$D$5:$D$300,ROW()-1)-4)</f>
        <v>0</v>
      </c>
      <c r="G227" s="36">
        <f>INDEX(CANCIONES!H$5:H$2500,SMALL('OPERACIONES DE FORMULAS'!$D$5:$D$300,ROW()-1)-4)</f>
        <v>0</v>
      </c>
      <c r="H227" s="37">
        <f t="shared" si="7"/>
        <v>226</v>
      </c>
      <c r="K227" s="31" t="e">
        <f>SMALL('OPERACIONES DE FORMULAS'!$D$5:$D$35,ROW()-1)</f>
        <v>#NUM!</v>
      </c>
    </row>
    <row r="228" spans="1:11" x14ac:dyDescent="0.25">
      <c r="A228" s="33" t="str">
        <f t="shared" si="6"/>
        <v>00</v>
      </c>
      <c r="B228" s="34">
        <f>INDEX(CANCIONES!C$5:C$2500,SMALL('OPERACIONES DE FORMULAS'!$D$5:$D$300,ROW()-1)-4)</f>
        <v>0</v>
      </c>
      <c r="C228" s="35">
        <f>INDEX(CANCIONES!D$5:D$2500,SMALL('OPERACIONES DE FORMULAS'!$D$5:$D$300,ROW()-1)-4)</f>
        <v>0</v>
      </c>
      <c r="D228" s="34">
        <f>INDEX(CANCIONES!E$5:E$2500,SMALL('OPERACIONES DE FORMULAS'!$D$5:$D$300,ROW()-1)-4)</f>
        <v>0</v>
      </c>
      <c r="E228" s="35">
        <f>INDEX(CANCIONES!F$5:F$2500,SMALL('OPERACIONES DE FORMULAS'!$D$5:$D$300,ROW()-1)-4)</f>
        <v>0</v>
      </c>
      <c r="F228" s="34">
        <f>INDEX(CANCIONES!G$5:G$2500,SMALL('OPERACIONES DE FORMULAS'!$D$5:$D$300,ROW()-1)-4)</f>
        <v>0</v>
      </c>
      <c r="G228" s="35">
        <f>INDEX(CANCIONES!H$5:H$2500,SMALL('OPERACIONES DE FORMULAS'!$D$5:$D$300,ROW()-1)-4)</f>
        <v>0</v>
      </c>
      <c r="H228" s="34">
        <f t="shared" si="7"/>
        <v>227</v>
      </c>
      <c r="K228" s="32" t="e">
        <f>SMALL('OPERACIONES DE FORMULAS'!$D$5:$D$35,ROW()-1)</f>
        <v>#NUM!</v>
      </c>
    </row>
    <row r="229" spans="1:11" x14ac:dyDescent="0.25">
      <c r="A229" s="36" t="str">
        <f t="shared" si="6"/>
        <v>00</v>
      </c>
      <c r="B229" s="37">
        <f>INDEX(CANCIONES!C$5:C$2500,SMALL('OPERACIONES DE FORMULAS'!$D$5:$D$300,ROW()-1)-4)</f>
        <v>0</v>
      </c>
      <c r="C229" s="36">
        <f>INDEX(CANCIONES!D$5:D$2500,SMALL('OPERACIONES DE FORMULAS'!$D$5:$D$300,ROW()-1)-4)</f>
        <v>0</v>
      </c>
      <c r="D229" s="37">
        <f>INDEX(CANCIONES!E$5:E$2500,SMALL('OPERACIONES DE FORMULAS'!$D$5:$D$300,ROW()-1)-4)</f>
        <v>0</v>
      </c>
      <c r="E229" s="36">
        <f>INDEX(CANCIONES!F$5:F$2500,SMALL('OPERACIONES DE FORMULAS'!$D$5:$D$300,ROW()-1)-4)</f>
        <v>0</v>
      </c>
      <c r="F229" s="37">
        <f>INDEX(CANCIONES!G$5:G$2500,SMALL('OPERACIONES DE FORMULAS'!$D$5:$D$300,ROW()-1)-4)</f>
        <v>0</v>
      </c>
      <c r="G229" s="36">
        <f>INDEX(CANCIONES!H$5:H$2500,SMALL('OPERACIONES DE FORMULAS'!$D$5:$D$300,ROW()-1)-4)</f>
        <v>0</v>
      </c>
      <c r="H229" s="37">
        <f t="shared" si="7"/>
        <v>228</v>
      </c>
      <c r="K229" s="31" t="e">
        <f>SMALL('OPERACIONES DE FORMULAS'!$D$5:$D$35,ROW()-1)</f>
        <v>#NUM!</v>
      </c>
    </row>
    <row r="230" spans="1:11" x14ac:dyDescent="0.25">
      <c r="A230" s="33" t="str">
        <f t="shared" si="6"/>
        <v>00</v>
      </c>
      <c r="B230" s="34">
        <f>INDEX(CANCIONES!C$5:C$2500,SMALL('OPERACIONES DE FORMULAS'!$D$5:$D$300,ROW()-1)-4)</f>
        <v>0</v>
      </c>
      <c r="C230" s="35">
        <f>INDEX(CANCIONES!D$5:D$2500,SMALL('OPERACIONES DE FORMULAS'!$D$5:$D$300,ROW()-1)-4)</f>
        <v>0</v>
      </c>
      <c r="D230" s="34">
        <f>INDEX(CANCIONES!E$5:E$2500,SMALL('OPERACIONES DE FORMULAS'!$D$5:$D$300,ROW()-1)-4)</f>
        <v>0</v>
      </c>
      <c r="E230" s="35">
        <f>INDEX(CANCIONES!F$5:F$2500,SMALL('OPERACIONES DE FORMULAS'!$D$5:$D$300,ROW()-1)-4)</f>
        <v>0</v>
      </c>
      <c r="F230" s="34">
        <f>INDEX(CANCIONES!G$5:G$2500,SMALL('OPERACIONES DE FORMULAS'!$D$5:$D$300,ROW()-1)-4)</f>
        <v>0</v>
      </c>
      <c r="G230" s="35">
        <f>INDEX(CANCIONES!H$5:H$2500,SMALL('OPERACIONES DE FORMULAS'!$D$5:$D$300,ROW()-1)-4)</f>
        <v>0</v>
      </c>
      <c r="H230" s="34">
        <f t="shared" si="7"/>
        <v>229</v>
      </c>
      <c r="K230" s="32" t="e">
        <f>SMALL('OPERACIONES DE FORMULAS'!$D$5:$D$35,ROW()-1)</f>
        <v>#NUM!</v>
      </c>
    </row>
    <row r="231" spans="1:11" x14ac:dyDescent="0.25">
      <c r="A231" s="36" t="str">
        <f t="shared" si="6"/>
        <v>00</v>
      </c>
      <c r="B231" s="37">
        <f>INDEX(CANCIONES!C$5:C$2500,SMALL('OPERACIONES DE FORMULAS'!$D$5:$D$300,ROW()-1)-4)</f>
        <v>0</v>
      </c>
      <c r="C231" s="36">
        <f>INDEX(CANCIONES!D$5:D$2500,SMALL('OPERACIONES DE FORMULAS'!$D$5:$D$300,ROW()-1)-4)</f>
        <v>0</v>
      </c>
      <c r="D231" s="37">
        <f>INDEX(CANCIONES!E$5:E$2500,SMALL('OPERACIONES DE FORMULAS'!$D$5:$D$300,ROW()-1)-4)</f>
        <v>0</v>
      </c>
      <c r="E231" s="36">
        <f>INDEX(CANCIONES!F$5:F$2500,SMALL('OPERACIONES DE FORMULAS'!$D$5:$D$300,ROW()-1)-4)</f>
        <v>0</v>
      </c>
      <c r="F231" s="37">
        <f>INDEX(CANCIONES!G$5:G$2500,SMALL('OPERACIONES DE FORMULAS'!$D$5:$D$300,ROW()-1)-4)</f>
        <v>0</v>
      </c>
      <c r="G231" s="36">
        <f>INDEX(CANCIONES!H$5:H$2500,SMALL('OPERACIONES DE FORMULAS'!$D$5:$D$300,ROW()-1)-4)</f>
        <v>0</v>
      </c>
      <c r="H231" s="37">
        <f t="shared" si="7"/>
        <v>230</v>
      </c>
      <c r="K231" s="31" t="e">
        <f>SMALL('OPERACIONES DE FORMULAS'!$D$5:$D$35,ROW()-1)</f>
        <v>#NUM!</v>
      </c>
    </row>
    <row r="232" spans="1:11" x14ac:dyDescent="0.25">
      <c r="A232" s="33" t="str">
        <f t="shared" si="6"/>
        <v>00</v>
      </c>
      <c r="B232" s="34">
        <f>INDEX(CANCIONES!C$5:C$2500,SMALL('OPERACIONES DE FORMULAS'!$D$5:$D$300,ROW()-1)-4)</f>
        <v>0</v>
      </c>
      <c r="C232" s="35">
        <f>INDEX(CANCIONES!D$5:D$2500,SMALL('OPERACIONES DE FORMULAS'!$D$5:$D$300,ROW()-1)-4)</f>
        <v>0</v>
      </c>
      <c r="D232" s="34">
        <f>INDEX(CANCIONES!E$5:E$2500,SMALL('OPERACIONES DE FORMULAS'!$D$5:$D$300,ROW()-1)-4)</f>
        <v>0</v>
      </c>
      <c r="E232" s="35">
        <f>INDEX(CANCIONES!F$5:F$2500,SMALL('OPERACIONES DE FORMULAS'!$D$5:$D$300,ROW()-1)-4)</f>
        <v>0</v>
      </c>
      <c r="F232" s="34">
        <f>INDEX(CANCIONES!G$5:G$2500,SMALL('OPERACIONES DE FORMULAS'!$D$5:$D$300,ROW()-1)-4)</f>
        <v>0</v>
      </c>
      <c r="G232" s="35">
        <f>INDEX(CANCIONES!H$5:H$2500,SMALL('OPERACIONES DE FORMULAS'!$D$5:$D$300,ROW()-1)-4)</f>
        <v>0</v>
      </c>
      <c r="H232" s="34">
        <f t="shared" si="7"/>
        <v>231</v>
      </c>
      <c r="K232" s="32" t="e">
        <f>SMALL('OPERACIONES DE FORMULAS'!$D$5:$D$35,ROW()-1)</f>
        <v>#NUM!</v>
      </c>
    </row>
    <row r="233" spans="1:11" x14ac:dyDescent="0.25">
      <c r="A233" s="36" t="str">
        <f t="shared" si="6"/>
        <v>00</v>
      </c>
      <c r="B233" s="37">
        <f>INDEX(CANCIONES!C$5:C$2500,SMALL('OPERACIONES DE FORMULAS'!$D$5:$D$300,ROW()-1)-4)</f>
        <v>0</v>
      </c>
      <c r="C233" s="36">
        <f>INDEX(CANCIONES!D$5:D$2500,SMALL('OPERACIONES DE FORMULAS'!$D$5:$D$300,ROW()-1)-4)</f>
        <v>0</v>
      </c>
      <c r="D233" s="37">
        <f>INDEX(CANCIONES!E$5:E$2500,SMALL('OPERACIONES DE FORMULAS'!$D$5:$D$300,ROW()-1)-4)</f>
        <v>0</v>
      </c>
      <c r="E233" s="36">
        <f>INDEX(CANCIONES!F$5:F$2500,SMALL('OPERACIONES DE FORMULAS'!$D$5:$D$300,ROW()-1)-4)</f>
        <v>0</v>
      </c>
      <c r="F233" s="37">
        <f>INDEX(CANCIONES!G$5:G$2500,SMALL('OPERACIONES DE FORMULAS'!$D$5:$D$300,ROW()-1)-4)</f>
        <v>0</v>
      </c>
      <c r="G233" s="36">
        <f>INDEX(CANCIONES!H$5:H$2500,SMALL('OPERACIONES DE FORMULAS'!$D$5:$D$300,ROW()-1)-4)</f>
        <v>0</v>
      </c>
      <c r="H233" s="37">
        <f t="shared" si="7"/>
        <v>232</v>
      </c>
      <c r="K233" s="31" t="e">
        <f>SMALL('OPERACIONES DE FORMULAS'!$D$5:$D$35,ROW()-1)</f>
        <v>#NUM!</v>
      </c>
    </row>
    <row r="234" spans="1:11" x14ac:dyDescent="0.25">
      <c r="A234" s="33" t="str">
        <f t="shared" si="6"/>
        <v>00</v>
      </c>
      <c r="B234" s="34">
        <f>INDEX(CANCIONES!C$5:C$2500,SMALL('OPERACIONES DE FORMULAS'!$D$5:$D$300,ROW()-1)-4)</f>
        <v>0</v>
      </c>
      <c r="C234" s="35">
        <f>INDEX(CANCIONES!D$5:D$2500,SMALL('OPERACIONES DE FORMULAS'!$D$5:$D$300,ROW()-1)-4)</f>
        <v>0</v>
      </c>
      <c r="D234" s="34">
        <f>INDEX(CANCIONES!E$5:E$2500,SMALL('OPERACIONES DE FORMULAS'!$D$5:$D$300,ROW()-1)-4)</f>
        <v>0</v>
      </c>
      <c r="E234" s="35">
        <f>INDEX(CANCIONES!F$5:F$2500,SMALL('OPERACIONES DE FORMULAS'!$D$5:$D$300,ROW()-1)-4)</f>
        <v>0</v>
      </c>
      <c r="F234" s="34">
        <f>INDEX(CANCIONES!G$5:G$2500,SMALL('OPERACIONES DE FORMULAS'!$D$5:$D$300,ROW()-1)-4)</f>
        <v>0</v>
      </c>
      <c r="G234" s="35">
        <f>INDEX(CANCIONES!H$5:H$2500,SMALL('OPERACIONES DE FORMULAS'!$D$5:$D$300,ROW()-1)-4)</f>
        <v>0</v>
      </c>
      <c r="H234" s="34">
        <f t="shared" si="7"/>
        <v>233</v>
      </c>
      <c r="K234" s="32" t="e">
        <f>SMALL('OPERACIONES DE FORMULAS'!$D$5:$D$35,ROW()-1)</f>
        <v>#NUM!</v>
      </c>
    </row>
    <row r="235" spans="1:11" x14ac:dyDescent="0.25">
      <c r="A235" s="36" t="str">
        <f t="shared" si="6"/>
        <v>00</v>
      </c>
      <c r="B235" s="37">
        <f>INDEX(CANCIONES!C$5:C$2500,SMALL('OPERACIONES DE FORMULAS'!$D$5:$D$300,ROW()-1)-4)</f>
        <v>0</v>
      </c>
      <c r="C235" s="36">
        <f>INDEX(CANCIONES!D$5:D$2500,SMALL('OPERACIONES DE FORMULAS'!$D$5:$D$300,ROW()-1)-4)</f>
        <v>0</v>
      </c>
      <c r="D235" s="37">
        <f>INDEX(CANCIONES!E$5:E$2500,SMALL('OPERACIONES DE FORMULAS'!$D$5:$D$300,ROW()-1)-4)</f>
        <v>0</v>
      </c>
      <c r="E235" s="36">
        <f>INDEX(CANCIONES!F$5:F$2500,SMALL('OPERACIONES DE FORMULAS'!$D$5:$D$300,ROW()-1)-4)</f>
        <v>0</v>
      </c>
      <c r="F235" s="37">
        <f>INDEX(CANCIONES!G$5:G$2500,SMALL('OPERACIONES DE FORMULAS'!$D$5:$D$300,ROW()-1)-4)</f>
        <v>0</v>
      </c>
      <c r="G235" s="36">
        <f>INDEX(CANCIONES!H$5:H$2500,SMALL('OPERACIONES DE FORMULAS'!$D$5:$D$300,ROW()-1)-4)</f>
        <v>0</v>
      </c>
      <c r="H235" s="37">
        <f t="shared" si="7"/>
        <v>234</v>
      </c>
      <c r="K235" s="31" t="e">
        <f>SMALL('OPERACIONES DE FORMULAS'!$D$5:$D$35,ROW()-1)</f>
        <v>#NUM!</v>
      </c>
    </row>
    <row r="236" spans="1:11" x14ac:dyDescent="0.25">
      <c r="A236" s="33" t="str">
        <f t="shared" si="6"/>
        <v>00</v>
      </c>
      <c r="B236" s="34">
        <f>INDEX(CANCIONES!C$5:C$2500,SMALL('OPERACIONES DE FORMULAS'!$D$5:$D$300,ROW()-1)-4)</f>
        <v>0</v>
      </c>
      <c r="C236" s="35">
        <f>INDEX(CANCIONES!D$5:D$2500,SMALL('OPERACIONES DE FORMULAS'!$D$5:$D$300,ROW()-1)-4)</f>
        <v>0</v>
      </c>
      <c r="D236" s="34">
        <f>INDEX(CANCIONES!E$5:E$2500,SMALL('OPERACIONES DE FORMULAS'!$D$5:$D$300,ROW()-1)-4)</f>
        <v>0</v>
      </c>
      <c r="E236" s="35">
        <f>INDEX(CANCIONES!F$5:F$2500,SMALL('OPERACIONES DE FORMULAS'!$D$5:$D$300,ROW()-1)-4)</f>
        <v>0</v>
      </c>
      <c r="F236" s="34">
        <f>INDEX(CANCIONES!G$5:G$2500,SMALL('OPERACIONES DE FORMULAS'!$D$5:$D$300,ROW()-1)-4)</f>
        <v>0</v>
      </c>
      <c r="G236" s="35">
        <f>INDEX(CANCIONES!H$5:H$2500,SMALL('OPERACIONES DE FORMULAS'!$D$5:$D$300,ROW()-1)-4)</f>
        <v>0</v>
      </c>
      <c r="H236" s="34">
        <f t="shared" si="7"/>
        <v>235</v>
      </c>
      <c r="K236" s="32" t="e">
        <f>SMALL('OPERACIONES DE FORMULAS'!$D$5:$D$35,ROW()-1)</f>
        <v>#NUM!</v>
      </c>
    </row>
    <row r="237" spans="1:11" x14ac:dyDescent="0.25">
      <c r="A237" s="36" t="str">
        <f t="shared" si="6"/>
        <v>00</v>
      </c>
      <c r="B237" s="37">
        <f>INDEX(CANCIONES!C$5:C$2500,SMALL('OPERACIONES DE FORMULAS'!$D$5:$D$300,ROW()-1)-4)</f>
        <v>0</v>
      </c>
      <c r="C237" s="36">
        <f>INDEX(CANCIONES!D$5:D$2500,SMALL('OPERACIONES DE FORMULAS'!$D$5:$D$300,ROW()-1)-4)</f>
        <v>0</v>
      </c>
      <c r="D237" s="37">
        <f>INDEX(CANCIONES!E$5:E$2500,SMALL('OPERACIONES DE FORMULAS'!$D$5:$D$300,ROW()-1)-4)</f>
        <v>0</v>
      </c>
      <c r="E237" s="36">
        <f>INDEX(CANCIONES!F$5:F$2500,SMALL('OPERACIONES DE FORMULAS'!$D$5:$D$300,ROW()-1)-4)</f>
        <v>0</v>
      </c>
      <c r="F237" s="37">
        <f>INDEX(CANCIONES!G$5:G$2500,SMALL('OPERACIONES DE FORMULAS'!$D$5:$D$300,ROW()-1)-4)</f>
        <v>0</v>
      </c>
      <c r="G237" s="36">
        <f>INDEX(CANCIONES!H$5:H$2500,SMALL('OPERACIONES DE FORMULAS'!$D$5:$D$300,ROW()-1)-4)</f>
        <v>0</v>
      </c>
      <c r="H237" s="37">
        <f t="shared" si="7"/>
        <v>236</v>
      </c>
      <c r="K237" s="31" t="e">
        <f>SMALL('OPERACIONES DE FORMULAS'!$D$5:$D$35,ROW()-1)</f>
        <v>#NUM!</v>
      </c>
    </row>
    <row r="238" spans="1:11" x14ac:dyDescent="0.25">
      <c r="A238" s="33" t="str">
        <f t="shared" si="6"/>
        <v>00</v>
      </c>
      <c r="B238" s="34">
        <f>INDEX(CANCIONES!C$5:C$2500,SMALL('OPERACIONES DE FORMULAS'!$D$5:$D$300,ROW()-1)-4)</f>
        <v>0</v>
      </c>
      <c r="C238" s="35">
        <f>INDEX(CANCIONES!D$5:D$2500,SMALL('OPERACIONES DE FORMULAS'!$D$5:$D$300,ROW()-1)-4)</f>
        <v>0</v>
      </c>
      <c r="D238" s="34">
        <f>INDEX(CANCIONES!E$5:E$2500,SMALL('OPERACIONES DE FORMULAS'!$D$5:$D$300,ROW()-1)-4)</f>
        <v>0</v>
      </c>
      <c r="E238" s="35">
        <f>INDEX(CANCIONES!F$5:F$2500,SMALL('OPERACIONES DE FORMULAS'!$D$5:$D$300,ROW()-1)-4)</f>
        <v>0</v>
      </c>
      <c r="F238" s="34">
        <f>INDEX(CANCIONES!G$5:G$2500,SMALL('OPERACIONES DE FORMULAS'!$D$5:$D$300,ROW()-1)-4)</f>
        <v>0</v>
      </c>
      <c r="G238" s="35">
        <f>INDEX(CANCIONES!H$5:H$2500,SMALL('OPERACIONES DE FORMULAS'!$D$5:$D$300,ROW()-1)-4)</f>
        <v>0</v>
      </c>
      <c r="H238" s="34">
        <f t="shared" si="7"/>
        <v>237</v>
      </c>
      <c r="K238" s="32" t="e">
        <f>SMALL('OPERACIONES DE FORMULAS'!$D$5:$D$35,ROW()-1)</f>
        <v>#NUM!</v>
      </c>
    </row>
    <row r="239" spans="1:11" x14ac:dyDescent="0.25">
      <c r="A239" s="36" t="str">
        <f t="shared" si="6"/>
        <v>00</v>
      </c>
      <c r="B239" s="37">
        <f>INDEX(CANCIONES!C$5:C$2500,SMALL('OPERACIONES DE FORMULAS'!$D$5:$D$300,ROW()-1)-4)</f>
        <v>0</v>
      </c>
      <c r="C239" s="36">
        <f>INDEX(CANCIONES!D$5:D$2500,SMALL('OPERACIONES DE FORMULAS'!$D$5:$D$300,ROW()-1)-4)</f>
        <v>0</v>
      </c>
      <c r="D239" s="37">
        <f>INDEX(CANCIONES!E$5:E$2500,SMALL('OPERACIONES DE FORMULAS'!$D$5:$D$300,ROW()-1)-4)</f>
        <v>0</v>
      </c>
      <c r="E239" s="36">
        <f>INDEX(CANCIONES!F$5:F$2500,SMALL('OPERACIONES DE FORMULAS'!$D$5:$D$300,ROW()-1)-4)</f>
        <v>0</v>
      </c>
      <c r="F239" s="37">
        <f>INDEX(CANCIONES!G$5:G$2500,SMALL('OPERACIONES DE FORMULAS'!$D$5:$D$300,ROW()-1)-4)</f>
        <v>0</v>
      </c>
      <c r="G239" s="36">
        <f>INDEX(CANCIONES!H$5:H$2500,SMALL('OPERACIONES DE FORMULAS'!$D$5:$D$300,ROW()-1)-4)</f>
        <v>0</v>
      </c>
      <c r="H239" s="37">
        <f t="shared" si="7"/>
        <v>238</v>
      </c>
      <c r="K239" s="31" t="e">
        <f>SMALL('OPERACIONES DE FORMULAS'!$D$5:$D$35,ROW()-1)</f>
        <v>#NUM!</v>
      </c>
    </row>
    <row r="240" spans="1:11" x14ac:dyDescent="0.25">
      <c r="A240" s="33" t="str">
        <f t="shared" si="6"/>
        <v>00</v>
      </c>
      <c r="B240" s="34">
        <f>INDEX(CANCIONES!C$5:C$2500,SMALL('OPERACIONES DE FORMULAS'!$D$5:$D$300,ROW()-1)-4)</f>
        <v>0</v>
      </c>
      <c r="C240" s="35">
        <f>INDEX(CANCIONES!D$5:D$2500,SMALL('OPERACIONES DE FORMULAS'!$D$5:$D$300,ROW()-1)-4)</f>
        <v>0</v>
      </c>
      <c r="D240" s="34">
        <f>INDEX(CANCIONES!E$5:E$2500,SMALL('OPERACIONES DE FORMULAS'!$D$5:$D$300,ROW()-1)-4)</f>
        <v>0</v>
      </c>
      <c r="E240" s="35">
        <f>INDEX(CANCIONES!F$5:F$2500,SMALL('OPERACIONES DE FORMULAS'!$D$5:$D$300,ROW()-1)-4)</f>
        <v>0</v>
      </c>
      <c r="F240" s="34">
        <f>INDEX(CANCIONES!G$5:G$2500,SMALL('OPERACIONES DE FORMULAS'!$D$5:$D$300,ROW()-1)-4)</f>
        <v>0</v>
      </c>
      <c r="G240" s="35">
        <f>INDEX(CANCIONES!H$5:H$2500,SMALL('OPERACIONES DE FORMULAS'!$D$5:$D$300,ROW()-1)-4)</f>
        <v>0</v>
      </c>
      <c r="H240" s="34">
        <f t="shared" si="7"/>
        <v>239</v>
      </c>
      <c r="K240" s="32" t="e">
        <f>SMALL('OPERACIONES DE FORMULAS'!$D$5:$D$35,ROW()-1)</f>
        <v>#NUM!</v>
      </c>
    </row>
    <row r="241" spans="1:11" x14ac:dyDescent="0.25">
      <c r="A241" s="36" t="str">
        <f t="shared" si="6"/>
        <v>00</v>
      </c>
      <c r="B241" s="37">
        <f>INDEX(CANCIONES!C$5:C$2500,SMALL('OPERACIONES DE FORMULAS'!$D$5:$D$300,ROW()-1)-4)</f>
        <v>0</v>
      </c>
      <c r="C241" s="36">
        <f>INDEX(CANCIONES!D$5:D$2500,SMALL('OPERACIONES DE FORMULAS'!$D$5:$D$300,ROW()-1)-4)</f>
        <v>0</v>
      </c>
      <c r="D241" s="37">
        <f>INDEX(CANCIONES!E$5:E$2500,SMALL('OPERACIONES DE FORMULAS'!$D$5:$D$300,ROW()-1)-4)</f>
        <v>0</v>
      </c>
      <c r="E241" s="36">
        <f>INDEX(CANCIONES!F$5:F$2500,SMALL('OPERACIONES DE FORMULAS'!$D$5:$D$300,ROW()-1)-4)</f>
        <v>0</v>
      </c>
      <c r="F241" s="37">
        <f>INDEX(CANCIONES!G$5:G$2500,SMALL('OPERACIONES DE FORMULAS'!$D$5:$D$300,ROW()-1)-4)</f>
        <v>0</v>
      </c>
      <c r="G241" s="36">
        <f>INDEX(CANCIONES!H$5:H$2500,SMALL('OPERACIONES DE FORMULAS'!$D$5:$D$300,ROW()-1)-4)</f>
        <v>0</v>
      </c>
      <c r="H241" s="37">
        <f t="shared" si="7"/>
        <v>240</v>
      </c>
      <c r="K241" s="31" t="e">
        <f>SMALL('OPERACIONES DE FORMULAS'!$D$5:$D$35,ROW()-1)</f>
        <v>#NUM!</v>
      </c>
    </row>
    <row r="242" spans="1:11" x14ac:dyDescent="0.25">
      <c r="A242" s="33" t="str">
        <f t="shared" si="6"/>
        <v>00</v>
      </c>
      <c r="B242" s="34">
        <f>INDEX(CANCIONES!C$5:C$2500,SMALL('OPERACIONES DE FORMULAS'!$D$5:$D$300,ROW()-1)-4)</f>
        <v>0</v>
      </c>
      <c r="C242" s="35">
        <f>INDEX(CANCIONES!D$5:D$2500,SMALL('OPERACIONES DE FORMULAS'!$D$5:$D$300,ROW()-1)-4)</f>
        <v>0</v>
      </c>
      <c r="D242" s="34">
        <f>INDEX(CANCIONES!E$5:E$2500,SMALL('OPERACIONES DE FORMULAS'!$D$5:$D$300,ROW()-1)-4)</f>
        <v>0</v>
      </c>
      <c r="E242" s="35">
        <f>INDEX(CANCIONES!F$5:F$2500,SMALL('OPERACIONES DE FORMULAS'!$D$5:$D$300,ROW()-1)-4)</f>
        <v>0</v>
      </c>
      <c r="F242" s="34">
        <f>INDEX(CANCIONES!G$5:G$2500,SMALL('OPERACIONES DE FORMULAS'!$D$5:$D$300,ROW()-1)-4)</f>
        <v>0</v>
      </c>
      <c r="G242" s="35">
        <f>INDEX(CANCIONES!H$5:H$2500,SMALL('OPERACIONES DE FORMULAS'!$D$5:$D$300,ROW()-1)-4)</f>
        <v>0</v>
      </c>
      <c r="H242" s="34">
        <f t="shared" si="7"/>
        <v>241</v>
      </c>
      <c r="K242" s="32" t="e">
        <f>SMALL('OPERACIONES DE FORMULAS'!$D$5:$D$35,ROW()-1)</f>
        <v>#NUM!</v>
      </c>
    </row>
    <row r="243" spans="1:11" x14ac:dyDescent="0.25">
      <c r="A243" s="36" t="str">
        <f t="shared" si="6"/>
        <v>00</v>
      </c>
      <c r="B243" s="37">
        <f>INDEX(CANCIONES!C$5:C$2500,SMALL('OPERACIONES DE FORMULAS'!$D$5:$D$300,ROW()-1)-4)</f>
        <v>0</v>
      </c>
      <c r="C243" s="36">
        <f>INDEX(CANCIONES!D$5:D$2500,SMALL('OPERACIONES DE FORMULAS'!$D$5:$D$300,ROW()-1)-4)</f>
        <v>0</v>
      </c>
      <c r="D243" s="37">
        <f>INDEX(CANCIONES!E$5:E$2500,SMALL('OPERACIONES DE FORMULAS'!$D$5:$D$300,ROW()-1)-4)</f>
        <v>0</v>
      </c>
      <c r="E243" s="36">
        <f>INDEX(CANCIONES!F$5:F$2500,SMALL('OPERACIONES DE FORMULAS'!$D$5:$D$300,ROW()-1)-4)</f>
        <v>0</v>
      </c>
      <c r="F243" s="37">
        <f>INDEX(CANCIONES!G$5:G$2500,SMALL('OPERACIONES DE FORMULAS'!$D$5:$D$300,ROW()-1)-4)</f>
        <v>0</v>
      </c>
      <c r="G243" s="36">
        <f>INDEX(CANCIONES!H$5:H$2500,SMALL('OPERACIONES DE FORMULAS'!$D$5:$D$300,ROW()-1)-4)</f>
        <v>0</v>
      </c>
      <c r="H243" s="37">
        <f t="shared" si="7"/>
        <v>242</v>
      </c>
      <c r="K243" s="31" t="e">
        <f>SMALL('OPERACIONES DE FORMULAS'!$D$5:$D$35,ROW()-1)</f>
        <v>#NUM!</v>
      </c>
    </row>
    <row r="244" spans="1:11" x14ac:dyDescent="0.25">
      <c r="A244" s="33" t="str">
        <f t="shared" si="6"/>
        <v>00</v>
      </c>
      <c r="B244" s="34">
        <f>INDEX(CANCIONES!C$5:C$2500,SMALL('OPERACIONES DE FORMULAS'!$D$5:$D$300,ROW()-1)-4)</f>
        <v>0</v>
      </c>
      <c r="C244" s="35">
        <f>INDEX(CANCIONES!D$5:D$2500,SMALL('OPERACIONES DE FORMULAS'!$D$5:$D$300,ROW()-1)-4)</f>
        <v>0</v>
      </c>
      <c r="D244" s="34">
        <f>INDEX(CANCIONES!E$5:E$2500,SMALL('OPERACIONES DE FORMULAS'!$D$5:$D$300,ROW()-1)-4)</f>
        <v>0</v>
      </c>
      <c r="E244" s="35">
        <f>INDEX(CANCIONES!F$5:F$2500,SMALL('OPERACIONES DE FORMULAS'!$D$5:$D$300,ROW()-1)-4)</f>
        <v>0</v>
      </c>
      <c r="F244" s="34">
        <f>INDEX(CANCIONES!G$5:G$2500,SMALL('OPERACIONES DE FORMULAS'!$D$5:$D$300,ROW()-1)-4)</f>
        <v>0</v>
      </c>
      <c r="G244" s="35">
        <f>INDEX(CANCIONES!H$5:H$2500,SMALL('OPERACIONES DE FORMULAS'!$D$5:$D$300,ROW()-1)-4)</f>
        <v>0</v>
      </c>
      <c r="H244" s="34">
        <f t="shared" si="7"/>
        <v>243</v>
      </c>
      <c r="K244" s="32" t="e">
        <f>SMALL('OPERACIONES DE FORMULAS'!$D$5:$D$35,ROW()-1)</f>
        <v>#NUM!</v>
      </c>
    </row>
    <row r="245" spans="1:11" x14ac:dyDescent="0.25">
      <c r="A245" s="36" t="str">
        <f t="shared" si="6"/>
        <v>00</v>
      </c>
      <c r="B245" s="37">
        <f>INDEX(CANCIONES!C$5:C$2500,SMALL('OPERACIONES DE FORMULAS'!$D$5:$D$300,ROW()-1)-4)</f>
        <v>0</v>
      </c>
      <c r="C245" s="36">
        <f>INDEX(CANCIONES!D$5:D$2500,SMALL('OPERACIONES DE FORMULAS'!$D$5:$D$300,ROW()-1)-4)</f>
        <v>0</v>
      </c>
      <c r="D245" s="37">
        <f>INDEX(CANCIONES!E$5:E$2500,SMALL('OPERACIONES DE FORMULAS'!$D$5:$D$300,ROW()-1)-4)</f>
        <v>0</v>
      </c>
      <c r="E245" s="36">
        <f>INDEX(CANCIONES!F$5:F$2500,SMALL('OPERACIONES DE FORMULAS'!$D$5:$D$300,ROW()-1)-4)</f>
        <v>0</v>
      </c>
      <c r="F245" s="37">
        <f>INDEX(CANCIONES!G$5:G$2500,SMALL('OPERACIONES DE FORMULAS'!$D$5:$D$300,ROW()-1)-4)</f>
        <v>0</v>
      </c>
      <c r="G245" s="36">
        <f>INDEX(CANCIONES!H$5:H$2500,SMALL('OPERACIONES DE FORMULAS'!$D$5:$D$300,ROW()-1)-4)</f>
        <v>0</v>
      </c>
      <c r="H245" s="37">
        <f t="shared" si="7"/>
        <v>244</v>
      </c>
      <c r="K245" s="31" t="e">
        <f>SMALL('OPERACIONES DE FORMULAS'!$D$5:$D$35,ROW()-1)</f>
        <v>#NUM!</v>
      </c>
    </row>
    <row r="246" spans="1:11" x14ac:dyDescent="0.25">
      <c r="A246" s="33" t="str">
        <f t="shared" si="6"/>
        <v>00</v>
      </c>
      <c r="B246" s="34">
        <f>INDEX(CANCIONES!C$5:C$2500,SMALL('OPERACIONES DE FORMULAS'!$D$5:$D$300,ROW()-1)-4)</f>
        <v>0</v>
      </c>
      <c r="C246" s="35">
        <f>INDEX(CANCIONES!D$5:D$2500,SMALL('OPERACIONES DE FORMULAS'!$D$5:$D$300,ROW()-1)-4)</f>
        <v>0</v>
      </c>
      <c r="D246" s="34">
        <f>INDEX(CANCIONES!E$5:E$2500,SMALL('OPERACIONES DE FORMULAS'!$D$5:$D$300,ROW()-1)-4)</f>
        <v>0</v>
      </c>
      <c r="E246" s="35">
        <f>INDEX(CANCIONES!F$5:F$2500,SMALL('OPERACIONES DE FORMULAS'!$D$5:$D$300,ROW()-1)-4)</f>
        <v>0</v>
      </c>
      <c r="F246" s="34">
        <f>INDEX(CANCIONES!G$5:G$2500,SMALL('OPERACIONES DE FORMULAS'!$D$5:$D$300,ROW()-1)-4)</f>
        <v>0</v>
      </c>
      <c r="G246" s="35">
        <f>INDEX(CANCIONES!H$5:H$2500,SMALL('OPERACIONES DE FORMULAS'!$D$5:$D$300,ROW()-1)-4)</f>
        <v>0</v>
      </c>
      <c r="H246" s="34">
        <f t="shared" si="7"/>
        <v>245</v>
      </c>
      <c r="K246" s="32" t="e">
        <f>SMALL('OPERACIONES DE FORMULAS'!$D$5:$D$35,ROW()-1)</f>
        <v>#NUM!</v>
      </c>
    </row>
    <row r="247" spans="1:11" x14ac:dyDescent="0.25">
      <c r="A247" s="36" t="str">
        <f t="shared" si="6"/>
        <v>00</v>
      </c>
      <c r="B247" s="37">
        <f>INDEX(CANCIONES!C$5:C$2500,SMALL('OPERACIONES DE FORMULAS'!$D$5:$D$300,ROW()-1)-4)</f>
        <v>0</v>
      </c>
      <c r="C247" s="36">
        <f>INDEX(CANCIONES!D$5:D$2500,SMALL('OPERACIONES DE FORMULAS'!$D$5:$D$300,ROW()-1)-4)</f>
        <v>0</v>
      </c>
      <c r="D247" s="37">
        <f>INDEX(CANCIONES!E$5:E$2500,SMALL('OPERACIONES DE FORMULAS'!$D$5:$D$300,ROW()-1)-4)</f>
        <v>0</v>
      </c>
      <c r="E247" s="36">
        <f>INDEX(CANCIONES!F$5:F$2500,SMALL('OPERACIONES DE FORMULAS'!$D$5:$D$300,ROW()-1)-4)</f>
        <v>0</v>
      </c>
      <c r="F247" s="37">
        <f>INDEX(CANCIONES!G$5:G$2500,SMALL('OPERACIONES DE FORMULAS'!$D$5:$D$300,ROW()-1)-4)</f>
        <v>0</v>
      </c>
      <c r="G247" s="36">
        <f>INDEX(CANCIONES!H$5:H$2500,SMALL('OPERACIONES DE FORMULAS'!$D$5:$D$300,ROW()-1)-4)</f>
        <v>0</v>
      </c>
      <c r="H247" s="37">
        <f t="shared" si="7"/>
        <v>246</v>
      </c>
      <c r="K247" s="31" t="e">
        <f>SMALL('OPERACIONES DE FORMULAS'!$D$5:$D$35,ROW()-1)</f>
        <v>#NUM!</v>
      </c>
    </row>
    <row r="248" spans="1:11" x14ac:dyDescent="0.25">
      <c r="A248" s="33" t="str">
        <f t="shared" si="6"/>
        <v>00</v>
      </c>
      <c r="B248" s="34">
        <f>INDEX(CANCIONES!C$5:C$2500,SMALL('OPERACIONES DE FORMULAS'!$D$5:$D$300,ROW()-1)-4)</f>
        <v>0</v>
      </c>
      <c r="C248" s="35">
        <f>INDEX(CANCIONES!D$5:D$2500,SMALL('OPERACIONES DE FORMULAS'!$D$5:$D$300,ROW()-1)-4)</f>
        <v>0</v>
      </c>
      <c r="D248" s="34">
        <f>INDEX(CANCIONES!E$5:E$2500,SMALL('OPERACIONES DE FORMULAS'!$D$5:$D$300,ROW()-1)-4)</f>
        <v>0</v>
      </c>
      <c r="E248" s="35">
        <f>INDEX(CANCIONES!F$5:F$2500,SMALL('OPERACIONES DE FORMULAS'!$D$5:$D$300,ROW()-1)-4)</f>
        <v>0</v>
      </c>
      <c r="F248" s="34">
        <f>INDEX(CANCIONES!G$5:G$2500,SMALL('OPERACIONES DE FORMULAS'!$D$5:$D$300,ROW()-1)-4)</f>
        <v>0</v>
      </c>
      <c r="G248" s="35">
        <f>INDEX(CANCIONES!H$5:H$2500,SMALL('OPERACIONES DE FORMULAS'!$D$5:$D$300,ROW()-1)-4)</f>
        <v>0</v>
      </c>
      <c r="H248" s="34">
        <f t="shared" si="7"/>
        <v>247</v>
      </c>
      <c r="K248" s="32" t="e">
        <f>SMALL('OPERACIONES DE FORMULAS'!$D$5:$D$35,ROW()-1)</f>
        <v>#NUM!</v>
      </c>
    </row>
    <row r="249" spans="1:11" x14ac:dyDescent="0.25">
      <c r="A249" s="36" t="str">
        <f t="shared" si="6"/>
        <v>00</v>
      </c>
      <c r="B249" s="37">
        <f>INDEX(CANCIONES!C$5:C$2500,SMALL('OPERACIONES DE FORMULAS'!$D$5:$D$300,ROW()-1)-4)</f>
        <v>0</v>
      </c>
      <c r="C249" s="36">
        <f>INDEX(CANCIONES!D$5:D$2500,SMALL('OPERACIONES DE FORMULAS'!$D$5:$D$300,ROW()-1)-4)</f>
        <v>0</v>
      </c>
      <c r="D249" s="37">
        <f>INDEX(CANCIONES!E$5:E$2500,SMALL('OPERACIONES DE FORMULAS'!$D$5:$D$300,ROW()-1)-4)</f>
        <v>0</v>
      </c>
      <c r="E249" s="36">
        <f>INDEX(CANCIONES!F$5:F$2500,SMALL('OPERACIONES DE FORMULAS'!$D$5:$D$300,ROW()-1)-4)</f>
        <v>0</v>
      </c>
      <c r="F249" s="37">
        <f>INDEX(CANCIONES!G$5:G$2500,SMALL('OPERACIONES DE FORMULAS'!$D$5:$D$300,ROW()-1)-4)</f>
        <v>0</v>
      </c>
      <c r="G249" s="36">
        <f>INDEX(CANCIONES!H$5:H$2500,SMALL('OPERACIONES DE FORMULAS'!$D$5:$D$300,ROW()-1)-4)</f>
        <v>0</v>
      </c>
      <c r="H249" s="37">
        <f t="shared" si="7"/>
        <v>248</v>
      </c>
      <c r="K249" s="31" t="e">
        <f>SMALL('OPERACIONES DE FORMULAS'!$D$5:$D$35,ROW()-1)</f>
        <v>#NUM!</v>
      </c>
    </row>
    <row r="250" spans="1:11" x14ac:dyDescent="0.25">
      <c r="A250" s="33" t="str">
        <f t="shared" si="6"/>
        <v>00</v>
      </c>
      <c r="B250" s="34">
        <f>INDEX(CANCIONES!C$5:C$2500,SMALL('OPERACIONES DE FORMULAS'!$D$5:$D$300,ROW()-1)-4)</f>
        <v>0</v>
      </c>
      <c r="C250" s="35">
        <f>INDEX(CANCIONES!D$5:D$2500,SMALL('OPERACIONES DE FORMULAS'!$D$5:$D$300,ROW()-1)-4)</f>
        <v>0</v>
      </c>
      <c r="D250" s="34">
        <f>INDEX(CANCIONES!E$5:E$2500,SMALL('OPERACIONES DE FORMULAS'!$D$5:$D$300,ROW()-1)-4)</f>
        <v>0</v>
      </c>
      <c r="E250" s="35">
        <f>INDEX(CANCIONES!F$5:F$2500,SMALL('OPERACIONES DE FORMULAS'!$D$5:$D$300,ROW()-1)-4)</f>
        <v>0</v>
      </c>
      <c r="F250" s="34">
        <f>INDEX(CANCIONES!G$5:G$2500,SMALL('OPERACIONES DE FORMULAS'!$D$5:$D$300,ROW()-1)-4)</f>
        <v>0</v>
      </c>
      <c r="G250" s="35">
        <f>INDEX(CANCIONES!H$5:H$2500,SMALL('OPERACIONES DE FORMULAS'!$D$5:$D$300,ROW()-1)-4)</f>
        <v>0</v>
      </c>
      <c r="H250" s="34">
        <f t="shared" si="7"/>
        <v>249</v>
      </c>
      <c r="K250" s="32" t="e">
        <f>SMALL('OPERACIONES DE FORMULAS'!$D$5:$D$35,ROW()-1)</f>
        <v>#NUM!</v>
      </c>
    </row>
    <row r="251" spans="1:11" x14ac:dyDescent="0.25">
      <c r="A251" s="36" t="str">
        <f t="shared" si="6"/>
        <v>00</v>
      </c>
      <c r="B251" s="37">
        <f>INDEX(CANCIONES!C$5:C$2500,SMALL('OPERACIONES DE FORMULAS'!$D$5:$D$300,ROW()-1)-4)</f>
        <v>0</v>
      </c>
      <c r="C251" s="36">
        <f>INDEX(CANCIONES!D$5:D$2500,SMALL('OPERACIONES DE FORMULAS'!$D$5:$D$300,ROW()-1)-4)</f>
        <v>0</v>
      </c>
      <c r="D251" s="37">
        <f>INDEX(CANCIONES!E$5:E$2500,SMALL('OPERACIONES DE FORMULAS'!$D$5:$D$300,ROW()-1)-4)</f>
        <v>0</v>
      </c>
      <c r="E251" s="36">
        <f>INDEX(CANCIONES!F$5:F$2500,SMALL('OPERACIONES DE FORMULAS'!$D$5:$D$300,ROW()-1)-4)</f>
        <v>0</v>
      </c>
      <c r="F251" s="37">
        <f>INDEX(CANCIONES!G$5:G$2500,SMALL('OPERACIONES DE FORMULAS'!$D$5:$D$300,ROW()-1)-4)</f>
        <v>0</v>
      </c>
      <c r="G251" s="36">
        <f>INDEX(CANCIONES!H$5:H$2500,SMALL('OPERACIONES DE FORMULAS'!$D$5:$D$300,ROW()-1)-4)</f>
        <v>0</v>
      </c>
      <c r="H251" s="37">
        <f t="shared" si="7"/>
        <v>250</v>
      </c>
      <c r="K251" s="31" t="e">
        <f>SMALL('OPERACIONES DE FORMULAS'!$D$5:$D$35,ROW()-1)</f>
        <v>#NUM!</v>
      </c>
    </row>
    <row r="252" spans="1:11" x14ac:dyDescent="0.25">
      <c r="A252" s="33" t="str">
        <f t="shared" si="6"/>
        <v>00</v>
      </c>
      <c r="B252" s="34">
        <f>INDEX(CANCIONES!C$5:C$2500,SMALL('OPERACIONES DE FORMULAS'!$D$5:$D$300,ROW()-1)-4)</f>
        <v>0</v>
      </c>
      <c r="C252" s="35">
        <f>INDEX(CANCIONES!D$5:D$2500,SMALL('OPERACIONES DE FORMULAS'!$D$5:$D$300,ROW()-1)-4)</f>
        <v>0</v>
      </c>
      <c r="D252" s="34">
        <f>INDEX(CANCIONES!E$5:E$2500,SMALL('OPERACIONES DE FORMULAS'!$D$5:$D$300,ROW()-1)-4)</f>
        <v>0</v>
      </c>
      <c r="E252" s="35">
        <f>INDEX(CANCIONES!F$5:F$2500,SMALL('OPERACIONES DE FORMULAS'!$D$5:$D$300,ROW()-1)-4)</f>
        <v>0</v>
      </c>
      <c r="F252" s="34">
        <f>INDEX(CANCIONES!G$5:G$2500,SMALL('OPERACIONES DE FORMULAS'!$D$5:$D$300,ROW()-1)-4)</f>
        <v>0</v>
      </c>
      <c r="G252" s="35">
        <f>INDEX(CANCIONES!H$5:H$2500,SMALL('OPERACIONES DE FORMULAS'!$D$5:$D$300,ROW()-1)-4)</f>
        <v>0</v>
      </c>
      <c r="H252" s="34">
        <f t="shared" si="7"/>
        <v>251</v>
      </c>
      <c r="K252" s="32" t="e">
        <f>SMALL('OPERACIONES DE FORMULAS'!$D$5:$D$35,ROW()-1)</f>
        <v>#NUM!</v>
      </c>
    </row>
    <row r="253" spans="1:11" x14ac:dyDescent="0.25">
      <c r="A253" s="36" t="str">
        <f t="shared" si="6"/>
        <v>00</v>
      </c>
      <c r="B253" s="37">
        <f>INDEX(CANCIONES!C$5:C$2500,SMALL('OPERACIONES DE FORMULAS'!$D$5:$D$300,ROW()-1)-4)</f>
        <v>0</v>
      </c>
      <c r="C253" s="36">
        <f>INDEX(CANCIONES!D$5:D$2500,SMALL('OPERACIONES DE FORMULAS'!$D$5:$D$300,ROW()-1)-4)</f>
        <v>0</v>
      </c>
      <c r="D253" s="37">
        <f>INDEX(CANCIONES!E$5:E$2500,SMALL('OPERACIONES DE FORMULAS'!$D$5:$D$300,ROW()-1)-4)</f>
        <v>0</v>
      </c>
      <c r="E253" s="36">
        <f>INDEX(CANCIONES!F$5:F$2500,SMALL('OPERACIONES DE FORMULAS'!$D$5:$D$300,ROW()-1)-4)</f>
        <v>0</v>
      </c>
      <c r="F253" s="37">
        <f>INDEX(CANCIONES!G$5:G$2500,SMALL('OPERACIONES DE FORMULAS'!$D$5:$D$300,ROW()-1)-4)</f>
        <v>0</v>
      </c>
      <c r="G253" s="36">
        <f>INDEX(CANCIONES!H$5:H$2500,SMALL('OPERACIONES DE FORMULAS'!$D$5:$D$300,ROW()-1)-4)</f>
        <v>0</v>
      </c>
      <c r="H253" s="37">
        <f t="shared" si="7"/>
        <v>252</v>
      </c>
      <c r="K253" s="31" t="e">
        <f>SMALL('OPERACIONES DE FORMULAS'!$D$5:$D$35,ROW()-1)</f>
        <v>#NUM!</v>
      </c>
    </row>
    <row r="254" spans="1:11" x14ac:dyDescent="0.25">
      <c r="A254" s="33" t="str">
        <f t="shared" si="6"/>
        <v>00</v>
      </c>
      <c r="B254" s="34">
        <f>INDEX(CANCIONES!C$5:C$2500,SMALL('OPERACIONES DE FORMULAS'!$D$5:$D$300,ROW()-1)-4)</f>
        <v>0</v>
      </c>
      <c r="C254" s="35">
        <f>INDEX(CANCIONES!D$5:D$2500,SMALL('OPERACIONES DE FORMULAS'!$D$5:$D$300,ROW()-1)-4)</f>
        <v>0</v>
      </c>
      <c r="D254" s="34">
        <f>INDEX(CANCIONES!E$5:E$2500,SMALL('OPERACIONES DE FORMULAS'!$D$5:$D$300,ROW()-1)-4)</f>
        <v>0</v>
      </c>
      <c r="E254" s="35">
        <f>INDEX(CANCIONES!F$5:F$2500,SMALL('OPERACIONES DE FORMULAS'!$D$5:$D$300,ROW()-1)-4)</f>
        <v>0</v>
      </c>
      <c r="F254" s="34">
        <f>INDEX(CANCIONES!G$5:G$2500,SMALL('OPERACIONES DE FORMULAS'!$D$5:$D$300,ROW()-1)-4)</f>
        <v>0</v>
      </c>
      <c r="G254" s="35">
        <f>INDEX(CANCIONES!H$5:H$2500,SMALL('OPERACIONES DE FORMULAS'!$D$5:$D$300,ROW()-1)-4)</f>
        <v>0</v>
      </c>
      <c r="H254" s="34">
        <f t="shared" si="7"/>
        <v>253</v>
      </c>
      <c r="K254" s="32" t="e">
        <f>SMALL('OPERACIONES DE FORMULAS'!$D$5:$D$35,ROW()-1)</f>
        <v>#NUM!</v>
      </c>
    </row>
    <row r="255" spans="1:11" x14ac:dyDescent="0.25">
      <c r="A255" s="36" t="str">
        <f t="shared" si="6"/>
        <v>00</v>
      </c>
      <c r="B255" s="37">
        <f>INDEX(CANCIONES!C$5:C$2500,SMALL('OPERACIONES DE FORMULAS'!$D$5:$D$300,ROW()-1)-4)</f>
        <v>0</v>
      </c>
      <c r="C255" s="36">
        <f>INDEX(CANCIONES!D$5:D$2500,SMALL('OPERACIONES DE FORMULAS'!$D$5:$D$300,ROW()-1)-4)</f>
        <v>0</v>
      </c>
      <c r="D255" s="37">
        <f>INDEX(CANCIONES!E$5:E$2500,SMALL('OPERACIONES DE FORMULAS'!$D$5:$D$300,ROW()-1)-4)</f>
        <v>0</v>
      </c>
      <c r="E255" s="36">
        <f>INDEX(CANCIONES!F$5:F$2500,SMALL('OPERACIONES DE FORMULAS'!$D$5:$D$300,ROW()-1)-4)</f>
        <v>0</v>
      </c>
      <c r="F255" s="37">
        <f>INDEX(CANCIONES!G$5:G$2500,SMALL('OPERACIONES DE FORMULAS'!$D$5:$D$300,ROW()-1)-4)</f>
        <v>0</v>
      </c>
      <c r="G255" s="36">
        <f>INDEX(CANCIONES!H$5:H$2500,SMALL('OPERACIONES DE FORMULAS'!$D$5:$D$300,ROW()-1)-4)</f>
        <v>0</v>
      </c>
      <c r="H255" s="37">
        <f t="shared" si="7"/>
        <v>254</v>
      </c>
      <c r="K255" s="31" t="e">
        <f>SMALL('OPERACIONES DE FORMULAS'!$D$5:$D$35,ROW()-1)</f>
        <v>#NUM!</v>
      </c>
    </row>
    <row r="256" spans="1:11" x14ac:dyDescent="0.25">
      <c r="A256" s="33" t="str">
        <f t="shared" si="6"/>
        <v>00</v>
      </c>
      <c r="B256" s="34">
        <f>INDEX(CANCIONES!C$5:C$2500,SMALL('OPERACIONES DE FORMULAS'!$D$5:$D$300,ROW()-1)-4)</f>
        <v>0</v>
      </c>
      <c r="C256" s="35">
        <f>INDEX(CANCIONES!D$5:D$2500,SMALL('OPERACIONES DE FORMULAS'!$D$5:$D$300,ROW()-1)-4)</f>
        <v>0</v>
      </c>
      <c r="D256" s="34">
        <f>INDEX(CANCIONES!E$5:E$2500,SMALL('OPERACIONES DE FORMULAS'!$D$5:$D$300,ROW()-1)-4)</f>
        <v>0</v>
      </c>
      <c r="E256" s="35">
        <f>INDEX(CANCIONES!F$5:F$2500,SMALL('OPERACIONES DE FORMULAS'!$D$5:$D$300,ROW()-1)-4)</f>
        <v>0</v>
      </c>
      <c r="F256" s="34">
        <f>INDEX(CANCIONES!G$5:G$2500,SMALL('OPERACIONES DE FORMULAS'!$D$5:$D$300,ROW()-1)-4)</f>
        <v>0</v>
      </c>
      <c r="G256" s="35">
        <f>INDEX(CANCIONES!H$5:H$2500,SMALL('OPERACIONES DE FORMULAS'!$D$5:$D$300,ROW()-1)-4)</f>
        <v>0</v>
      </c>
      <c r="H256" s="34">
        <f t="shared" si="7"/>
        <v>255</v>
      </c>
      <c r="K256" s="32" t="e">
        <f>SMALL('OPERACIONES DE FORMULAS'!$D$5:$D$35,ROW()-1)</f>
        <v>#NUM!</v>
      </c>
    </row>
    <row r="257" spans="1:11" x14ac:dyDescent="0.25">
      <c r="A257" s="36" t="str">
        <f t="shared" si="6"/>
        <v>00</v>
      </c>
      <c r="B257" s="37">
        <f>INDEX(CANCIONES!C$5:C$2500,SMALL('OPERACIONES DE FORMULAS'!$D$5:$D$300,ROW()-1)-4)</f>
        <v>0</v>
      </c>
      <c r="C257" s="36">
        <f>INDEX(CANCIONES!D$5:D$2500,SMALL('OPERACIONES DE FORMULAS'!$D$5:$D$300,ROW()-1)-4)</f>
        <v>0</v>
      </c>
      <c r="D257" s="37">
        <f>INDEX(CANCIONES!E$5:E$2500,SMALL('OPERACIONES DE FORMULAS'!$D$5:$D$300,ROW()-1)-4)</f>
        <v>0</v>
      </c>
      <c r="E257" s="36">
        <f>INDEX(CANCIONES!F$5:F$2500,SMALL('OPERACIONES DE FORMULAS'!$D$5:$D$300,ROW()-1)-4)</f>
        <v>0</v>
      </c>
      <c r="F257" s="37">
        <f>INDEX(CANCIONES!G$5:G$2500,SMALL('OPERACIONES DE FORMULAS'!$D$5:$D$300,ROW()-1)-4)</f>
        <v>0</v>
      </c>
      <c r="G257" s="36">
        <f>INDEX(CANCIONES!H$5:H$2500,SMALL('OPERACIONES DE FORMULAS'!$D$5:$D$300,ROW()-1)-4)</f>
        <v>0</v>
      </c>
      <c r="H257" s="37">
        <f t="shared" si="7"/>
        <v>256</v>
      </c>
      <c r="K257" s="31" t="e">
        <f>SMALL('OPERACIONES DE FORMULAS'!$D$5:$D$35,ROW()-1)</f>
        <v>#NUM!</v>
      </c>
    </row>
    <row r="258" spans="1:11" x14ac:dyDescent="0.25">
      <c r="A258" s="33" t="str">
        <f t="shared" si="6"/>
        <v>00</v>
      </c>
      <c r="B258" s="34">
        <f>INDEX(CANCIONES!C$5:C$2500,SMALL('OPERACIONES DE FORMULAS'!$D$5:$D$300,ROW()-1)-4)</f>
        <v>0</v>
      </c>
      <c r="C258" s="35">
        <f>INDEX(CANCIONES!D$5:D$2500,SMALL('OPERACIONES DE FORMULAS'!$D$5:$D$300,ROW()-1)-4)</f>
        <v>0</v>
      </c>
      <c r="D258" s="34">
        <f>INDEX(CANCIONES!E$5:E$2500,SMALL('OPERACIONES DE FORMULAS'!$D$5:$D$300,ROW()-1)-4)</f>
        <v>0</v>
      </c>
      <c r="E258" s="35">
        <f>INDEX(CANCIONES!F$5:F$2500,SMALL('OPERACIONES DE FORMULAS'!$D$5:$D$300,ROW()-1)-4)</f>
        <v>0</v>
      </c>
      <c r="F258" s="34">
        <f>INDEX(CANCIONES!G$5:G$2500,SMALL('OPERACIONES DE FORMULAS'!$D$5:$D$300,ROW()-1)-4)</f>
        <v>0</v>
      </c>
      <c r="G258" s="35">
        <f>INDEX(CANCIONES!H$5:H$2500,SMALL('OPERACIONES DE FORMULAS'!$D$5:$D$300,ROW()-1)-4)</f>
        <v>0</v>
      </c>
      <c r="H258" s="34">
        <f t="shared" si="7"/>
        <v>257</v>
      </c>
      <c r="K258" s="32" t="e">
        <f>SMALL('OPERACIONES DE FORMULAS'!$D$5:$D$35,ROW()-1)</f>
        <v>#NUM!</v>
      </c>
    </row>
    <row r="259" spans="1:11" x14ac:dyDescent="0.25">
      <c r="A259" s="36" t="str">
        <f t="shared" ref="A259:A271" si="8">$F259&amp;$G259</f>
        <v>00</v>
      </c>
      <c r="B259" s="37">
        <f>INDEX(CANCIONES!C$5:C$2500,SMALL('OPERACIONES DE FORMULAS'!$D$5:$D$300,ROW()-1)-4)</f>
        <v>0</v>
      </c>
      <c r="C259" s="36">
        <f>INDEX(CANCIONES!D$5:D$2500,SMALL('OPERACIONES DE FORMULAS'!$D$5:$D$300,ROW()-1)-4)</f>
        <v>0</v>
      </c>
      <c r="D259" s="37">
        <f>INDEX(CANCIONES!E$5:E$2500,SMALL('OPERACIONES DE FORMULAS'!$D$5:$D$300,ROW()-1)-4)</f>
        <v>0</v>
      </c>
      <c r="E259" s="36">
        <f>INDEX(CANCIONES!F$5:F$2500,SMALL('OPERACIONES DE FORMULAS'!$D$5:$D$300,ROW()-1)-4)</f>
        <v>0</v>
      </c>
      <c r="F259" s="37">
        <f>INDEX(CANCIONES!G$5:G$2500,SMALL('OPERACIONES DE FORMULAS'!$D$5:$D$300,ROW()-1)-4)</f>
        <v>0</v>
      </c>
      <c r="G259" s="36">
        <f>INDEX(CANCIONES!H$5:H$2500,SMALL('OPERACIONES DE FORMULAS'!$D$5:$D$300,ROW()-1)-4)</f>
        <v>0</v>
      </c>
      <c r="H259" s="37">
        <f t="shared" ref="H259:H271" si="9">ROW()-1</f>
        <v>258</v>
      </c>
      <c r="K259" s="31" t="e">
        <f>SMALL('OPERACIONES DE FORMULAS'!$D$5:$D$35,ROW()-1)</f>
        <v>#NUM!</v>
      </c>
    </row>
    <row r="260" spans="1:11" x14ac:dyDescent="0.25">
      <c r="A260" s="33" t="str">
        <f t="shared" si="8"/>
        <v>00</v>
      </c>
      <c r="B260" s="34">
        <f>INDEX(CANCIONES!C$5:C$2500,SMALL('OPERACIONES DE FORMULAS'!$D$5:$D$300,ROW()-1)-4)</f>
        <v>0</v>
      </c>
      <c r="C260" s="35">
        <f>INDEX(CANCIONES!D$5:D$2500,SMALL('OPERACIONES DE FORMULAS'!$D$5:$D$300,ROW()-1)-4)</f>
        <v>0</v>
      </c>
      <c r="D260" s="34">
        <f>INDEX(CANCIONES!E$5:E$2500,SMALL('OPERACIONES DE FORMULAS'!$D$5:$D$300,ROW()-1)-4)</f>
        <v>0</v>
      </c>
      <c r="E260" s="35">
        <f>INDEX(CANCIONES!F$5:F$2500,SMALL('OPERACIONES DE FORMULAS'!$D$5:$D$300,ROW()-1)-4)</f>
        <v>0</v>
      </c>
      <c r="F260" s="34">
        <f>INDEX(CANCIONES!G$5:G$2500,SMALL('OPERACIONES DE FORMULAS'!$D$5:$D$300,ROW()-1)-4)</f>
        <v>0</v>
      </c>
      <c r="G260" s="35">
        <f>INDEX(CANCIONES!H$5:H$2500,SMALL('OPERACIONES DE FORMULAS'!$D$5:$D$300,ROW()-1)-4)</f>
        <v>0</v>
      </c>
      <c r="H260" s="34">
        <f t="shared" si="9"/>
        <v>259</v>
      </c>
      <c r="K260" s="32" t="e">
        <f>SMALL('OPERACIONES DE FORMULAS'!$D$5:$D$35,ROW()-1)</f>
        <v>#NUM!</v>
      </c>
    </row>
    <row r="261" spans="1:11" x14ac:dyDescent="0.25">
      <c r="A261" s="36" t="str">
        <f t="shared" si="8"/>
        <v>00</v>
      </c>
      <c r="B261" s="37">
        <f>INDEX(CANCIONES!C$5:C$2500,SMALL('OPERACIONES DE FORMULAS'!$D$5:$D$300,ROW()-1)-4)</f>
        <v>0</v>
      </c>
      <c r="C261" s="36">
        <f>INDEX(CANCIONES!D$5:D$2500,SMALL('OPERACIONES DE FORMULAS'!$D$5:$D$300,ROW()-1)-4)</f>
        <v>0</v>
      </c>
      <c r="D261" s="37">
        <f>INDEX(CANCIONES!E$5:E$2500,SMALL('OPERACIONES DE FORMULAS'!$D$5:$D$300,ROW()-1)-4)</f>
        <v>0</v>
      </c>
      <c r="E261" s="36">
        <f>INDEX(CANCIONES!F$5:F$2500,SMALL('OPERACIONES DE FORMULAS'!$D$5:$D$300,ROW()-1)-4)</f>
        <v>0</v>
      </c>
      <c r="F261" s="37">
        <f>INDEX(CANCIONES!G$5:G$2500,SMALL('OPERACIONES DE FORMULAS'!$D$5:$D$300,ROW()-1)-4)</f>
        <v>0</v>
      </c>
      <c r="G261" s="36">
        <f>INDEX(CANCIONES!H$5:H$2500,SMALL('OPERACIONES DE FORMULAS'!$D$5:$D$300,ROW()-1)-4)</f>
        <v>0</v>
      </c>
      <c r="H261" s="37">
        <f t="shared" si="9"/>
        <v>260</v>
      </c>
      <c r="K261" s="31" t="e">
        <f>SMALL('OPERACIONES DE FORMULAS'!$D$5:$D$35,ROW()-1)</f>
        <v>#NUM!</v>
      </c>
    </row>
    <row r="262" spans="1:11" x14ac:dyDescent="0.25">
      <c r="A262" s="33" t="str">
        <f t="shared" si="8"/>
        <v>00</v>
      </c>
      <c r="B262" s="34">
        <f>INDEX(CANCIONES!C$5:C$2500,SMALL('OPERACIONES DE FORMULAS'!$D$5:$D$300,ROW()-1)-4)</f>
        <v>0</v>
      </c>
      <c r="C262" s="35">
        <f>INDEX(CANCIONES!D$5:D$2500,SMALL('OPERACIONES DE FORMULAS'!$D$5:$D$300,ROW()-1)-4)</f>
        <v>0</v>
      </c>
      <c r="D262" s="34">
        <f>INDEX(CANCIONES!E$5:E$2500,SMALL('OPERACIONES DE FORMULAS'!$D$5:$D$300,ROW()-1)-4)</f>
        <v>0</v>
      </c>
      <c r="E262" s="35">
        <f>INDEX(CANCIONES!F$5:F$2500,SMALL('OPERACIONES DE FORMULAS'!$D$5:$D$300,ROW()-1)-4)</f>
        <v>0</v>
      </c>
      <c r="F262" s="34">
        <f>INDEX(CANCIONES!G$5:G$2500,SMALL('OPERACIONES DE FORMULAS'!$D$5:$D$300,ROW()-1)-4)</f>
        <v>0</v>
      </c>
      <c r="G262" s="35">
        <f>INDEX(CANCIONES!H$5:H$2500,SMALL('OPERACIONES DE FORMULAS'!$D$5:$D$300,ROW()-1)-4)</f>
        <v>0</v>
      </c>
      <c r="H262" s="34">
        <f t="shared" si="9"/>
        <v>261</v>
      </c>
      <c r="K262" s="32" t="e">
        <f>SMALL('OPERACIONES DE FORMULAS'!$D$5:$D$35,ROW()-1)</f>
        <v>#NUM!</v>
      </c>
    </row>
    <row r="263" spans="1:11" x14ac:dyDescent="0.25">
      <c r="A263" s="36" t="str">
        <f t="shared" si="8"/>
        <v>00</v>
      </c>
      <c r="B263" s="37">
        <f>INDEX(CANCIONES!C$5:C$2500,SMALL('OPERACIONES DE FORMULAS'!$D$5:$D$300,ROW()-1)-4)</f>
        <v>0</v>
      </c>
      <c r="C263" s="36">
        <f>INDEX(CANCIONES!D$5:D$2500,SMALL('OPERACIONES DE FORMULAS'!$D$5:$D$300,ROW()-1)-4)</f>
        <v>0</v>
      </c>
      <c r="D263" s="37">
        <f>INDEX(CANCIONES!E$5:E$2500,SMALL('OPERACIONES DE FORMULAS'!$D$5:$D$300,ROW()-1)-4)</f>
        <v>0</v>
      </c>
      <c r="E263" s="36">
        <f>INDEX(CANCIONES!F$5:F$2500,SMALL('OPERACIONES DE FORMULAS'!$D$5:$D$300,ROW()-1)-4)</f>
        <v>0</v>
      </c>
      <c r="F263" s="37">
        <f>INDEX(CANCIONES!G$5:G$2500,SMALL('OPERACIONES DE FORMULAS'!$D$5:$D$300,ROW()-1)-4)</f>
        <v>0</v>
      </c>
      <c r="G263" s="36">
        <f>INDEX(CANCIONES!H$5:H$2500,SMALL('OPERACIONES DE FORMULAS'!$D$5:$D$300,ROW()-1)-4)</f>
        <v>0</v>
      </c>
      <c r="H263" s="37">
        <f t="shared" si="9"/>
        <v>262</v>
      </c>
      <c r="K263" s="31" t="e">
        <f>SMALL('OPERACIONES DE FORMULAS'!$D$5:$D$35,ROW()-1)</f>
        <v>#NUM!</v>
      </c>
    </row>
    <row r="264" spans="1:11" x14ac:dyDescent="0.25">
      <c r="A264" s="33" t="str">
        <f t="shared" si="8"/>
        <v>00</v>
      </c>
      <c r="B264" s="34">
        <f>INDEX(CANCIONES!C$5:C$2500,SMALL('OPERACIONES DE FORMULAS'!$D$5:$D$300,ROW()-1)-4)</f>
        <v>0</v>
      </c>
      <c r="C264" s="35">
        <f>INDEX(CANCIONES!D$5:D$2500,SMALL('OPERACIONES DE FORMULAS'!$D$5:$D$300,ROW()-1)-4)</f>
        <v>0</v>
      </c>
      <c r="D264" s="34">
        <f>INDEX(CANCIONES!E$5:E$2500,SMALL('OPERACIONES DE FORMULAS'!$D$5:$D$300,ROW()-1)-4)</f>
        <v>0</v>
      </c>
      <c r="E264" s="35">
        <f>INDEX(CANCIONES!F$5:F$2500,SMALL('OPERACIONES DE FORMULAS'!$D$5:$D$300,ROW()-1)-4)</f>
        <v>0</v>
      </c>
      <c r="F264" s="34">
        <f>INDEX(CANCIONES!G$5:G$2500,SMALL('OPERACIONES DE FORMULAS'!$D$5:$D$300,ROW()-1)-4)</f>
        <v>0</v>
      </c>
      <c r="G264" s="35">
        <f>INDEX(CANCIONES!H$5:H$2500,SMALL('OPERACIONES DE FORMULAS'!$D$5:$D$300,ROW()-1)-4)</f>
        <v>0</v>
      </c>
      <c r="H264" s="34">
        <f t="shared" si="9"/>
        <v>263</v>
      </c>
      <c r="K264" s="32" t="e">
        <f>SMALL('OPERACIONES DE FORMULAS'!$D$5:$D$35,ROW()-1)</f>
        <v>#NUM!</v>
      </c>
    </row>
    <row r="265" spans="1:11" x14ac:dyDescent="0.25">
      <c r="A265" s="36" t="str">
        <f t="shared" si="8"/>
        <v>00</v>
      </c>
      <c r="B265" s="37">
        <f>INDEX(CANCIONES!C$5:C$2500,SMALL('OPERACIONES DE FORMULAS'!$D$5:$D$300,ROW()-1)-4)</f>
        <v>0</v>
      </c>
      <c r="C265" s="36">
        <f>INDEX(CANCIONES!D$5:D$2500,SMALL('OPERACIONES DE FORMULAS'!$D$5:$D$300,ROW()-1)-4)</f>
        <v>0</v>
      </c>
      <c r="D265" s="37">
        <f>INDEX(CANCIONES!E$5:E$2500,SMALL('OPERACIONES DE FORMULAS'!$D$5:$D$300,ROW()-1)-4)</f>
        <v>0</v>
      </c>
      <c r="E265" s="36">
        <f>INDEX(CANCIONES!F$5:F$2500,SMALL('OPERACIONES DE FORMULAS'!$D$5:$D$300,ROW()-1)-4)</f>
        <v>0</v>
      </c>
      <c r="F265" s="37">
        <f>INDEX(CANCIONES!G$5:G$2500,SMALL('OPERACIONES DE FORMULAS'!$D$5:$D$300,ROW()-1)-4)</f>
        <v>0</v>
      </c>
      <c r="G265" s="36">
        <f>INDEX(CANCIONES!H$5:H$2500,SMALL('OPERACIONES DE FORMULAS'!$D$5:$D$300,ROW()-1)-4)</f>
        <v>0</v>
      </c>
      <c r="H265" s="37">
        <f t="shared" si="9"/>
        <v>264</v>
      </c>
      <c r="K265" s="31" t="e">
        <f>SMALL('OPERACIONES DE FORMULAS'!$D$5:$D$35,ROW()-1)</f>
        <v>#NUM!</v>
      </c>
    </row>
    <row r="266" spans="1:11" x14ac:dyDescent="0.25">
      <c r="A266" s="33" t="str">
        <f t="shared" si="8"/>
        <v>00</v>
      </c>
      <c r="B266" s="34">
        <f>INDEX(CANCIONES!C$5:C$2500,SMALL('OPERACIONES DE FORMULAS'!$D$5:$D$300,ROW()-1)-4)</f>
        <v>0</v>
      </c>
      <c r="C266" s="35">
        <f>INDEX(CANCIONES!D$5:D$2500,SMALL('OPERACIONES DE FORMULAS'!$D$5:$D$300,ROW()-1)-4)</f>
        <v>0</v>
      </c>
      <c r="D266" s="34">
        <f>INDEX(CANCIONES!E$5:E$2500,SMALL('OPERACIONES DE FORMULAS'!$D$5:$D$300,ROW()-1)-4)</f>
        <v>0</v>
      </c>
      <c r="E266" s="35">
        <f>INDEX(CANCIONES!F$5:F$2500,SMALL('OPERACIONES DE FORMULAS'!$D$5:$D$300,ROW()-1)-4)</f>
        <v>0</v>
      </c>
      <c r="F266" s="34">
        <f>INDEX(CANCIONES!G$5:G$2500,SMALL('OPERACIONES DE FORMULAS'!$D$5:$D$300,ROW()-1)-4)</f>
        <v>0</v>
      </c>
      <c r="G266" s="35">
        <f>INDEX(CANCIONES!H$5:H$2500,SMALL('OPERACIONES DE FORMULAS'!$D$5:$D$300,ROW()-1)-4)</f>
        <v>0</v>
      </c>
      <c r="H266" s="34">
        <f t="shared" si="9"/>
        <v>265</v>
      </c>
      <c r="K266" s="32" t="e">
        <f>SMALL('OPERACIONES DE FORMULAS'!$D$5:$D$35,ROW()-1)</f>
        <v>#NUM!</v>
      </c>
    </row>
    <row r="267" spans="1:11" x14ac:dyDescent="0.25">
      <c r="A267" s="36" t="str">
        <f t="shared" si="8"/>
        <v>00</v>
      </c>
      <c r="B267" s="37">
        <f>INDEX(CANCIONES!C$5:C$2500,SMALL('OPERACIONES DE FORMULAS'!$D$5:$D$300,ROW()-1)-4)</f>
        <v>0</v>
      </c>
      <c r="C267" s="36">
        <f>INDEX(CANCIONES!D$5:D$2500,SMALL('OPERACIONES DE FORMULAS'!$D$5:$D$300,ROW()-1)-4)</f>
        <v>0</v>
      </c>
      <c r="D267" s="37">
        <f>INDEX(CANCIONES!E$5:E$2500,SMALL('OPERACIONES DE FORMULAS'!$D$5:$D$300,ROW()-1)-4)</f>
        <v>0</v>
      </c>
      <c r="E267" s="36">
        <f>INDEX(CANCIONES!F$5:F$2500,SMALL('OPERACIONES DE FORMULAS'!$D$5:$D$300,ROW()-1)-4)</f>
        <v>0</v>
      </c>
      <c r="F267" s="37">
        <f>INDEX(CANCIONES!G$5:G$2500,SMALL('OPERACIONES DE FORMULAS'!$D$5:$D$300,ROW()-1)-4)</f>
        <v>0</v>
      </c>
      <c r="G267" s="36">
        <f>INDEX(CANCIONES!H$5:H$2500,SMALL('OPERACIONES DE FORMULAS'!$D$5:$D$300,ROW()-1)-4)</f>
        <v>0</v>
      </c>
      <c r="H267" s="37">
        <f t="shared" si="9"/>
        <v>266</v>
      </c>
      <c r="K267" s="31" t="e">
        <f>SMALL('OPERACIONES DE FORMULAS'!$D$5:$D$35,ROW()-1)</f>
        <v>#NUM!</v>
      </c>
    </row>
    <row r="268" spans="1:11" x14ac:dyDescent="0.25">
      <c r="A268" s="33" t="str">
        <f t="shared" si="8"/>
        <v>00</v>
      </c>
      <c r="B268" s="34">
        <f>INDEX(CANCIONES!C$5:C$2500,SMALL('OPERACIONES DE FORMULAS'!$D$5:$D$300,ROW()-1)-4)</f>
        <v>0</v>
      </c>
      <c r="C268" s="35">
        <f>INDEX(CANCIONES!D$5:D$2500,SMALL('OPERACIONES DE FORMULAS'!$D$5:$D$300,ROW()-1)-4)</f>
        <v>0</v>
      </c>
      <c r="D268" s="34">
        <f>INDEX(CANCIONES!E$5:E$2500,SMALL('OPERACIONES DE FORMULAS'!$D$5:$D$300,ROW()-1)-4)</f>
        <v>0</v>
      </c>
      <c r="E268" s="35">
        <f>INDEX(CANCIONES!F$5:F$2500,SMALL('OPERACIONES DE FORMULAS'!$D$5:$D$300,ROW()-1)-4)</f>
        <v>0</v>
      </c>
      <c r="F268" s="34">
        <f>INDEX(CANCIONES!G$5:G$2500,SMALL('OPERACIONES DE FORMULAS'!$D$5:$D$300,ROW()-1)-4)</f>
        <v>0</v>
      </c>
      <c r="G268" s="35">
        <f>INDEX(CANCIONES!H$5:H$2500,SMALL('OPERACIONES DE FORMULAS'!$D$5:$D$300,ROW()-1)-4)</f>
        <v>0</v>
      </c>
      <c r="H268" s="34">
        <f t="shared" si="9"/>
        <v>267</v>
      </c>
      <c r="K268" s="32" t="e">
        <f>SMALL('OPERACIONES DE FORMULAS'!$D$5:$D$35,ROW()-1)</f>
        <v>#NUM!</v>
      </c>
    </row>
    <row r="269" spans="1:11" x14ac:dyDescent="0.25">
      <c r="A269" s="36" t="str">
        <f t="shared" si="8"/>
        <v>00</v>
      </c>
      <c r="B269" s="37">
        <f>INDEX(CANCIONES!C$5:C$2500,SMALL('OPERACIONES DE FORMULAS'!$D$5:$D$300,ROW()-1)-4)</f>
        <v>0</v>
      </c>
      <c r="C269" s="36">
        <f>INDEX(CANCIONES!D$5:D$2500,SMALL('OPERACIONES DE FORMULAS'!$D$5:$D$300,ROW()-1)-4)</f>
        <v>0</v>
      </c>
      <c r="D269" s="37">
        <f>INDEX(CANCIONES!E$5:E$2500,SMALL('OPERACIONES DE FORMULAS'!$D$5:$D$300,ROW()-1)-4)</f>
        <v>0</v>
      </c>
      <c r="E269" s="36">
        <f>INDEX(CANCIONES!F$5:F$2500,SMALL('OPERACIONES DE FORMULAS'!$D$5:$D$300,ROW()-1)-4)</f>
        <v>0</v>
      </c>
      <c r="F269" s="37">
        <f>INDEX(CANCIONES!G$5:G$2500,SMALL('OPERACIONES DE FORMULAS'!$D$5:$D$300,ROW()-1)-4)</f>
        <v>0</v>
      </c>
      <c r="G269" s="36">
        <f>INDEX(CANCIONES!H$5:H$2500,SMALL('OPERACIONES DE FORMULAS'!$D$5:$D$300,ROW()-1)-4)</f>
        <v>0</v>
      </c>
      <c r="H269" s="37">
        <f t="shared" si="9"/>
        <v>268</v>
      </c>
      <c r="K269" s="31" t="e">
        <f>SMALL('OPERACIONES DE FORMULAS'!$D$5:$D$35,ROW()-1)</f>
        <v>#NUM!</v>
      </c>
    </row>
    <row r="270" spans="1:11" x14ac:dyDescent="0.25">
      <c r="A270" s="33" t="str">
        <f t="shared" si="8"/>
        <v>00</v>
      </c>
      <c r="B270" s="34">
        <f>INDEX(CANCIONES!C$5:C$2500,SMALL('OPERACIONES DE FORMULAS'!$D$5:$D$300,ROW()-1)-4)</f>
        <v>0</v>
      </c>
      <c r="C270" s="35">
        <f>INDEX(CANCIONES!D$5:D$2500,SMALL('OPERACIONES DE FORMULAS'!$D$5:$D$300,ROW()-1)-4)</f>
        <v>0</v>
      </c>
      <c r="D270" s="34">
        <f>INDEX(CANCIONES!E$5:E$2500,SMALL('OPERACIONES DE FORMULAS'!$D$5:$D$300,ROW()-1)-4)</f>
        <v>0</v>
      </c>
      <c r="E270" s="35">
        <f>INDEX(CANCIONES!F$5:F$2500,SMALL('OPERACIONES DE FORMULAS'!$D$5:$D$300,ROW()-1)-4)</f>
        <v>0</v>
      </c>
      <c r="F270" s="34">
        <f>INDEX(CANCIONES!G$5:G$2500,SMALL('OPERACIONES DE FORMULAS'!$D$5:$D$300,ROW()-1)-4)</f>
        <v>0</v>
      </c>
      <c r="G270" s="35">
        <f>INDEX(CANCIONES!H$5:H$2500,SMALL('OPERACIONES DE FORMULAS'!$D$5:$D$300,ROW()-1)-4)</f>
        <v>0</v>
      </c>
      <c r="H270" s="34">
        <f t="shared" si="9"/>
        <v>269</v>
      </c>
      <c r="K270" s="32" t="e">
        <f>SMALL('OPERACIONES DE FORMULAS'!$D$5:$D$35,ROW()-1)</f>
        <v>#NUM!</v>
      </c>
    </row>
    <row r="271" spans="1:11" x14ac:dyDescent="0.25">
      <c r="A271" s="36" t="str">
        <f t="shared" si="8"/>
        <v>00</v>
      </c>
      <c r="B271" s="37">
        <f>INDEX(CANCIONES!C$5:C$2500,SMALL('OPERACIONES DE FORMULAS'!$D$5:$D$300,ROW()-1)-4)</f>
        <v>0</v>
      </c>
      <c r="C271" s="36">
        <f>INDEX(CANCIONES!D$5:D$2500,SMALL('OPERACIONES DE FORMULAS'!$D$5:$D$300,ROW()-1)-4)</f>
        <v>0</v>
      </c>
      <c r="D271" s="37">
        <f>INDEX(CANCIONES!E$5:E$2500,SMALL('OPERACIONES DE FORMULAS'!$D$5:$D$300,ROW()-1)-4)</f>
        <v>0</v>
      </c>
      <c r="E271" s="36">
        <f>INDEX(CANCIONES!F$5:F$2500,SMALL('OPERACIONES DE FORMULAS'!$D$5:$D$300,ROW()-1)-4)</f>
        <v>0</v>
      </c>
      <c r="F271" s="37">
        <f>INDEX(CANCIONES!G$5:G$2500,SMALL('OPERACIONES DE FORMULAS'!$D$5:$D$300,ROW()-1)-4)</f>
        <v>0</v>
      </c>
      <c r="G271" s="36">
        <f>INDEX(CANCIONES!H$5:H$2500,SMALL('OPERACIONES DE FORMULAS'!$D$5:$D$300,ROW()-1)-4)</f>
        <v>0</v>
      </c>
      <c r="H271" s="37">
        <f t="shared" si="9"/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>
    <tabColor rgb="FF6AFF5F"/>
  </sheetPr>
  <dimension ref="A2:N13"/>
  <sheetViews>
    <sheetView topLeftCell="C1" workbookViewId="0">
      <selection activeCell="E352" sqref="E352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14.28515625" customWidth="1"/>
    <col min="5" max="5" width="49" customWidth="1"/>
  </cols>
  <sheetData>
    <row r="2" spans="1:14" x14ac:dyDescent="0.25">
      <c r="D2" s="2" t="s">
        <v>4</v>
      </c>
      <c r="E2" s="1">
        <v>4</v>
      </c>
    </row>
    <row r="3" spans="1:14" x14ac:dyDescent="0.25">
      <c r="K3" s="3" t="s">
        <v>5</v>
      </c>
      <c r="L3" s="4" t="s">
        <v>6</v>
      </c>
      <c r="M3" s="5" t="s">
        <v>7</v>
      </c>
      <c r="N3" s="6" t="s">
        <v>8</v>
      </c>
    </row>
    <row r="4" spans="1:14" ht="31.5" customHeight="1" x14ac:dyDescent="0.25">
      <c r="A4" s="9" t="s">
        <v>43</v>
      </c>
      <c r="B4" s="11" t="s">
        <v>42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27" t="s">
        <v>103</v>
      </c>
      <c r="K4" s="48" t="s">
        <v>25</v>
      </c>
      <c r="L4" s="48"/>
      <c r="M4" s="48"/>
      <c r="N4" s="48"/>
    </row>
    <row r="5" spans="1:14" ht="16.5" thickBot="1" x14ac:dyDescent="0.3">
      <c r="A5" s="14">
        <f>IF(B5=1,COUNTIF($B$5:B5,1),"")</f>
        <v>1</v>
      </c>
      <c r="B5" s="14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7"/>
      <c r="K5" s="47" t="s">
        <v>9</v>
      </c>
      <c r="L5" s="47"/>
      <c r="M5" s="50" t="s">
        <v>9</v>
      </c>
      <c r="N5" s="50"/>
    </row>
    <row r="6" spans="1:14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7"/>
      <c r="K6" s="49" t="s">
        <v>10</v>
      </c>
      <c r="L6" s="49"/>
      <c r="M6" s="49"/>
      <c r="N6" s="49"/>
    </row>
    <row r="7" spans="1:14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  <c r="I7" s="7"/>
    </row>
    <row r="8" spans="1:14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  <c r="I8" s="7"/>
    </row>
    <row r="9" spans="1:14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  <c r="I9" s="7"/>
    </row>
    <row r="10" spans="1:14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  <c r="I10" s="7"/>
    </row>
    <row r="11" spans="1:14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  <c r="I11" s="7"/>
    </row>
    <row r="12" spans="1:14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  <c r="I12" s="7"/>
    </row>
    <row r="13" spans="1:14" ht="15.75" x14ac:dyDescent="0.25">
      <c r="A13" s="14">
        <f>IF(B13=1,COUNTIF($B$5:B13,1),"")</f>
        <v>2</v>
      </c>
      <c r="B13" s="14">
        <f>--ISNUMBER(IFERROR(SEARCH(Index!$C$2,C13,1),""))</f>
        <v>1</v>
      </c>
      <c r="C13" s="13" t="s">
        <v>45</v>
      </c>
      <c r="D13" s="13">
        <v>5</v>
      </c>
      <c r="E13" s="16" t="s">
        <v>49</v>
      </c>
      <c r="F13" s="13" t="s">
        <v>50</v>
      </c>
      <c r="G13" s="13">
        <v>1</v>
      </c>
      <c r="H13" s="13">
        <v>1</v>
      </c>
    </row>
  </sheetData>
  <mergeCells count="4">
    <mergeCell ref="K5:L5"/>
    <mergeCell ref="K4:N4"/>
    <mergeCell ref="K6:N6"/>
    <mergeCell ref="M5:N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>
    <tabColor theme="2" tint="-0.499984740745262"/>
  </sheetPr>
  <dimension ref="D4:G300"/>
  <sheetViews>
    <sheetView topLeftCell="A282" workbookViewId="0">
      <selection activeCell="D289" sqref="D289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2" t="s">
        <v>44</v>
      </c>
    </row>
    <row r="5" spans="4:7" x14ac:dyDescent="0.25">
      <c r="D5" t="b">
        <f>IF(CANCIONES!$C$5:$C$2500=Index!$C$2,ROW())</f>
        <v>0</v>
      </c>
      <c r="G5" t="str">
        <f>IFERROR(INDEX(CANCIONES!$C$5:$C$13,MATCH(ROWS(CANCIONES!$A$5:A5),CANCIONES!$A$5:$A$13,0)),"")</f>
        <v>Replay</v>
      </c>
    </row>
    <row r="6" spans="4:7" x14ac:dyDescent="0.25">
      <c r="D6" t="b">
        <f>IF(CANCIONES!$C$5:$C$2500=Index!$C$2,ROW())</f>
        <v>0</v>
      </c>
      <c r="G6" t="str">
        <f>IFERROR(INDEX(CANCIONES!$C$5:$C$13,MATCH(ROWS(CANCIONES!$A$5:A6),CANCIONES!$A$5:$A$13,0)),"")</f>
        <v>Otra cancion</v>
      </c>
    </row>
    <row r="7" spans="4:7" x14ac:dyDescent="0.25">
      <c r="D7" t="b">
        <f>IF(CANCIONES!$C$5:$C$2500=Index!$C$2,ROW())</f>
        <v>0</v>
      </c>
      <c r="G7" t="str">
        <f>IFERROR(INDEX(CANCIONES!$C$5:$C$13,MATCH(ROWS(CANCIONES!$A$5:A7),CANCIONES!$A$5:$A$13,0)),"")</f>
        <v/>
      </c>
    </row>
    <row r="8" spans="4:7" x14ac:dyDescent="0.25">
      <c r="D8" t="b">
        <f>IF(CANCIONES!$C$5:$C$2500=Index!$C$2,ROW())</f>
        <v>0</v>
      </c>
      <c r="G8" t="str">
        <f>IFERROR(INDEX(CANCIONES!$C$5:$C$13,MATCH(ROWS(CANCIONES!$A$5:A8),CANCIONES!$A$5:$A$13,0)),"")</f>
        <v/>
      </c>
    </row>
    <row r="9" spans="4:7" x14ac:dyDescent="0.25">
      <c r="D9" t="b">
        <f>IF(CANCIONES!$C$5:$C$2500=Index!$C$2,ROW())</f>
        <v>0</v>
      </c>
      <c r="G9" t="str">
        <f>IFERROR(INDEX(CANCIONES!$C$5:$C$13,MATCH(ROWS(CANCIONES!$A$5:A9),CANCIONES!$A$5:$A$13,0)),"")</f>
        <v/>
      </c>
    </row>
    <row r="10" spans="4:7" x14ac:dyDescent="0.25">
      <c r="D10" t="b">
        <f>IF(CANCIONES!$C$5:$C$2500=Index!$C$2,ROW())</f>
        <v>0</v>
      </c>
      <c r="G10" t="str">
        <f>IFERROR(INDEX(CANCIONES!$C$5:$C$13,MATCH(ROWS(CANCIONES!$A$5:A10),CANCIONES!$A$5:$A$13,0)),"")</f>
        <v/>
      </c>
    </row>
    <row r="11" spans="4:7" x14ac:dyDescent="0.25">
      <c r="D11" t="b">
        <f>IF(CANCIONES!$C$5:$C$2500=Index!$C$2,ROW())</f>
        <v>0</v>
      </c>
      <c r="G11" t="str">
        <f>IFERROR(INDEX(CANCIONES!$C$5:$C$13,MATCH(ROWS(CANCIONES!$A$5:A11),CANCIONES!$A$5:$A$13,0)),"")</f>
        <v/>
      </c>
    </row>
    <row r="12" spans="4:7" x14ac:dyDescent="0.25">
      <c r="D12" t="b">
        <f>IF(CANCIONES!$C$5:$C$2500=Index!$C$2,ROW())</f>
        <v>0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IF(CANCIONES!$C$5:$C$2500=Index!$C$2,ROW())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>
        <f>IF(CANCIONES!$C$5:$C$2500=Index!$C$2,ROW())</f>
        <v>14</v>
      </c>
      <c r="G14" t="str">
        <f>IFERROR(INDEX(CANCIONES!$C$5:$C$13,MATCH(ROWS(CANCIONES!$A$5:A14),CANCIONES!$A$5:$A$13,0)),"")</f>
        <v/>
      </c>
    </row>
    <row r="15" spans="4:7" x14ac:dyDescent="0.25">
      <c r="D15">
        <f>IF(CANCIONES!$C$5:$C$2500=Index!$C$2,ROW())</f>
        <v>15</v>
      </c>
      <c r="G15" t="str">
        <f>IFERROR(INDEX(CANCIONES!$C$5:$C$13,MATCH(ROWS(CANCIONES!$A$5:A15),CANCIONES!$A$5:$A$13,0)),"")</f>
        <v/>
      </c>
    </row>
    <row r="16" spans="4:7" x14ac:dyDescent="0.25">
      <c r="D16">
        <f>IF(CANCIONES!$C$5:$C$2500=Index!$C$2,ROW())</f>
        <v>16</v>
      </c>
      <c r="G16" t="str">
        <f>IFERROR(INDEX(CANCIONES!$C$5:$C$13,MATCH(ROWS(CANCIONES!$A$5:A16),CANCIONES!$A$5:$A$13,0)),"")</f>
        <v/>
      </c>
    </row>
    <row r="17" spans="4:7" x14ac:dyDescent="0.25">
      <c r="D17">
        <f>IF(CANCIONES!$C$5:$C$2500=Index!$C$2,ROW())</f>
        <v>17</v>
      </c>
      <c r="G17" t="str">
        <f>IFERROR(INDEX(CANCIONES!$C$5:$C$13,MATCH(ROWS(CANCIONES!$A$5:A17),CANCIONES!$A$5:$A$13,0)),"")</f>
        <v/>
      </c>
    </row>
    <row r="18" spans="4:7" x14ac:dyDescent="0.25">
      <c r="D18">
        <f>IF(CANCIONES!$C$5:$C$2500=Index!$C$2,ROW())</f>
        <v>18</v>
      </c>
      <c r="G18" t="str">
        <f>IFERROR(INDEX(CANCIONES!$C$5:$C$13,MATCH(ROWS(CANCIONES!$A$5:A18),CANCIONES!$A$5:$A$13,0)),"")</f>
        <v/>
      </c>
    </row>
    <row r="19" spans="4:7" x14ac:dyDescent="0.25">
      <c r="D19">
        <f>IF(CANCIONES!$C$5:$C$2500=Index!$C$2,ROW())</f>
        <v>19</v>
      </c>
      <c r="G19" t="str">
        <f>IFERROR(INDEX(CANCIONES!$C$5:$C$13,MATCH(ROWS(CANCIONES!$A$5:A19),CANCIONES!$A$5:$A$13,0)),"")</f>
        <v/>
      </c>
    </row>
    <row r="20" spans="4:7" x14ac:dyDescent="0.25">
      <c r="D20">
        <f>IF(CANCIONES!$C$5:$C$2500=Index!$C$2,ROW())</f>
        <v>20</v>
      </c>
      <c r="G20" t="str">
        <f>IFERROR(INDEX(CANCIONES!$C$5:$C$13,MATCH(ROWS(CANCIONES!$A$5:A20),CANCIONES!$A$5:$A$13,0)),"")</f>
        <v/>
      </c>
    </row>
    <row r="21" spans="4:7" x14ac:dyDescent="0.25">
      <c r="D21">
        <f>IF(CANCIONES!$C$5:$C$2500=Index!$C$2,ROW())</f>
        <v>21</v>
      </c>
      <c r="G21" t="str">
        <f>IFERROR(INDEX(CANCIONES!$C$5:$C$13,MATCH(ROWS(CANCIONES!$A$5:A21),CANCIONES!$A$5:$A$13,0)),"")</f>
        <v/>
      </c>
    </row>
    <row r="22" spans="4:7" x14ac:dyDescent="0.25">
      <c r="D22">
        <f>IF(CANCIONES!$C$5:$C$2500=Index!$C$2,ROW())</f>
        <v>22</v>
      </c>
      <c r="G22" t="str">
        <f>IFERROR(INDEX(CANCIONES!$C$5:$C$13,MATCH(ROWS(CANCIONES!$A$5:A22),CANCIONES!$A$5:$A$13,0)),"")</f>
        <v/>
      </c>
    </row>
    <row r="23" spans="4:7" x14ac:dyDescent="0.25">
      <c r="D23">
        <f>IF(CANCIONES!$C$5:$C$2500=Index!$C$2,ROW())</f>
        <v>23</v>
      </c>
      <c r="G23" t="str">
        <f>IFERROR(INDEX(CANCIONES!$C$5:$C$13,MATCH(ROWS(CANCIONES!$A$5:A23),CANCIONES!$A$5:$A$13,0)),"")</f>
        <v/>
      </c>
    </row>
    <row r="24" spans="4:7" x14ac:dyDescent="0.25">
      <c r="D24">
        <f>IF(CANCIONES!$C$5:$C$2500=Index!$C$2,ROW())</f>
        <v>24</v>
      </c>
      <c r="G24" t="str">
        <f>IFERROR(INDEX(CANCIONES!$C$5:$C$13,MATCH(ROWS(CANCIONES!$A$5:A24),CANCIONES!$A$5:$A$13,0)),"")</f>
        <v/>
      </c>
    </row>
    <row r="25" spans="4:7" x14ac:dyDescent="0.25">
      <c r="D25">
        <f>IF(CANCIONES!$C$5:$C$2500=Index!$C$2,ROW())</f>
        <v>25</v>
      </c>
      <c r="G25" t="str">
        <f>IFERROR(INDEX(CANCIONES!$C$5:$C$13,MATCH(ROWS(CANCIONES!$A$5:A25),CANCIONES!$A$5:$A$13,0)),"")</f>
        <v/>
      </c>
    </row>
    <row r="26" spans="4:7" x14ac:dyDescent="0.25">
      <c r="D26">
        <f>IF(CANCIONES!$C$5:$C$2500=Index!$C$2,ROW())</f>
        <v>26</v>
      </c>
      <c r="G26" t="str">
        <f>IFERROR(INDEX(CANCIONES!$C$5:$C$13,MATCH(ROWS(CANCIONES!$A$5:A26),CANCIONES!$A$5:$A$13,0)),"")</f>
        <v/>
      </c>
    </row>
    <row r="27" spans="4:7" x14ac:dyDescent="0.25">
      <c r="D27">
        <f>IF(CANCIONES!$C$5:$C$2500=Index!$C$2,ROW())</f>
        <v>27</v>
      </c>
      <c r="G27" t="str">
        <f>IFERROR(INDEX(CANCIONES!$C$5:$C$13,MATCH(ROWS(CANCIONES!$A$5:A27),CANCIONES!$A$5:$A$13,0)),"")</f>
        <v/>
      </c>
    </row>
    <row r="28" spans="4:7" x14ac:dyDescent="0.25">
      <c r="D28">
        <f>IF(CANCIONES!$C$5:$C$2500=Index!$C$2,ROW())</f>
        <v>28</v>
      </c>
      <c r="G28" t="str">
        <f>IFERROR(INDEX(CANCIONES!$C$5:$C$13,MATCH(ROWS(CANCIONES!$A$5:A28),CANCIONES!$A$5:$A$13,0)),"")</f>
        <v/>
      </c>
    </row>
    <row r="29" spans="4:7" x14ac:dyDescent="0.25">
      <c r="D29">
        <f>IF(CANCIONES!$C$5:$C$2500=Index!$C$2,ROW())</f>
        <v>29</v>
      </c>
      <c r="G29" t="str">
        <f>IFERROR(INDEX(CANCIONES!$C$5:$C$13,MATCH(ROWS(CANCIONES!$A$5:A29),CANCIONES!$A$5:$A$13,0)),"")</f>
        <v/>
      </c>
    </row>
    <row r="30" spans="4:7" x14ac:dyDescent="0.25">
      <c r="D30">
        <f>IF(CANCIONES!$C$5:$C$2500=Index!$C$2,ROW())</f>
        <v>30</v>
      </c>
      <c r="G30" t="str">
        <f>IFERROR(INDEX(CANCIONES!$C$5:$C$13,MATCH(ROWS(CANCIONES!$A$5:A30),CANCIONES!$A$5:$A$13,0)),"")</f>
        <v/>
      </c>
    </row>
    <row r="31" spans="4:7" x14ac:dyDescent="0.25">
      <c r="D31">
        <f>IF(CANCIONES!$C$5:$C$2500=Index!$C$2,ROW())</f>
        <v>31</v>
      </c>
      <c r="G31" t="str">
        <f>IFERROR(INDEX(CANCIONES!$C$5:$C$13,MATCH(ROWS(CANCIONES!$A$5:A31),CANCIONES!$A$5:$A$13,0)),"")</f>
        <v/>
      </c>
    </row>
    <row r="32" spans="4:7" x14ac:dyDescent="0.25">
      <c r="D32">
        <f>IF(CANCIONES!$C$5:$C$2500=Index!$C$2,ROW())</f>
        <v>32</v>
      </c>
      <c r="G32" t="str">
        <f>IFERROR(INDEX(CANCIONES!$C$5:$C$13,MATCH(ROWS(CANCIONES!$A$5:A32),CANCIONES!$A$5:$A$13,0)),"")</f>
        <v/>
      </c>
    </row>
    <row r="33" spans="4:7" x14ac:dyDescent="0.25">
      <c r="D33">
        <f>IF(CANCIONES!$C$5:$C$2500=Index!$C$2,ROW())</f>
        <v>33</v>
      </c>
      <c r="G33" t="str">
        <f>IFERROR(INDEX(CANCIONES!$C$5:$C$13,MATCH(ROWS(CANCIONES!$A$5:A33),CANCIONES!$A$5:$A$13,0)),"")</f>
        <v/>
      </c>
    </row>
    <row r="34" spans="4:7" x14ac:dyDescent="0.25">
      <c r="D34">
        <f>IF(CANCIONES!$C$5:$C$2500=Index!$C$2,ROW())</f>
        <v>34</v>
      </c>
      <c r="G34" t="str">
        <f>IFERROR(INDEX(CANCIONES!$C$5:$C$13,MATCH(ROWS(CANCIONES!$A$5:A34),CANCIONES!$A$5:$A$13,0)),"")</f>
        <v/>
      </c>
    </row>
    <row r="35" spans="4:7" x14ac:dyDescent="0.25">
      <c r="D35">
        <f>IF(CANCIONES!$C$5:$C$2500=Index!$C$2,ROW())</f>
        <v>35</v>
      </c>
      <c r="G35" t="str">
        <f>IFERROR(INDEX(CANCIONES!$C$5:$C$13,MATCH(ROWS(CANCIONES!$A$5:A35),CANCIONES!$A$5:$A$13,0)),"")</f>
        <v/>
      </c>
    </row>
    <row r="36" spans="4:7" x14ac:dyDescent="0.25">
      <c r="D36">
        <f>IF(CANCIONES!$C$5:$C$2500=Index!$C$2,ROW())</f>
        <v>36</v>
      </c>
      <c r="G36" t="str">
        <f>IFERROR(INDEX(CANCIONES!$C$5:$C$13,MATCH(ROWS(CANCIONES!$A$5:A36),CANCIONES!$A$5:$A$13,0)),"")</f>
        <v/>
      </c>
    </row>
    <row r="37" spans="4:7" x14ac:dyDescent="0.25">
      <c r="D37">
        <f>IF(CANCIONES!$C$5:$C$2500=Index!$C$2,ROW())</f>
        <v>37</v>
      </c>
      <c r="G37" t="str">
        <f>IFERROR(INDEX(CANCIONES!$C$5:$C$13,MATCH(ROWS(CANCIONES!$A$5:A37),CANCIONES!$A$5:$A$13,0)),"")</f>
        <v/>
      </c>
    </row>
    <row r="38" spans="4:7" x14ac:dyDescent="0.25">
      <c r="D38">
        <f>IF(CANCIONES!$C$5:$C$2500=Index!$C$2,ROW())</f>
        <v>38</v>
      </c>
      <c r="G38" t="str">
        <f>IFERROR(INDEX(CANCIONES!$C$5:$C$13,MATCH(ROWS(CANCIONES!$A$5:A38),CANCIONES!$A$5:$A$13,0)),"")</f>
        <v/>
      </c>
    </row>
    <row r="39" spans="4:7" x14ac:dyDescent="0.25">
      <c r="D39">
        <f>IF(CANCIONES!$C$5:$C$2500=Index!$C$2,ROW())</f>
        <v>39</v>
      </c>
      <c r="G39" t="str">
        <f>IFERROR(INDEX(CANCIONES!$C$5:$C$13,MATCH(ROWS(CANCIONES!$A$5:A39),CANCIONES!$A$5:$A$13,0)),"")</f>
        <v/>
      </c>
    </row>
    <row r="40" spans="4:7" x14ac:dyDescent="0.25">
      <c r="D40">
        <f>IF(CANCIONES!$C$5:$C$2500=Index!$C$2,ROW())</f>
        <v>40</v>
      </c>
      <c r="G40" t="str">
        <f>IFERROR(INDEX(CANCIONES!$C$5:$C$13,MATCH(ROWS(CANCIONES!$A$5:A40),CANCIONES!$A$5:$A$13,0)),"")</f>
        <v/>
      </c>
    </row>
    <row r="41" spans="4:7" x14ac:dyDescent="0.25">
      <c r="D41">
        <f>IF(CANCIONES!$C$5:$C$2500=Index!$C$2,ROW())</f>
        <v>41</v>
      </c>
      <c r="G41" t="str">
        <f>IFERROR(INDEX(CANCIONES!$C$5:$C$13,MATCH(ROWS(CANCIONES!$A$5:A41),CANCIONES!$A$5:$A$13,0)),"")</f>
        <v/>
      </c>
    </row>
    <row r="42" spans="4:7" x14ac:dyDescent="0.25">
      <c r="D42">
        <f>IF(CANCIONES!$C$5:$C$2500=Index!$C$2,ROW())</f>
        <v>42</v>
      </c>
      <c r="G42" t="str">
        <f>IFERROR(INDEX(CANCIONES!$C$5:$C$13,MATCH(ROWS(CANCIONES!$A$5:A42),CANCIONES!$A$5:$A$13,0)),"")</f>
        <v/>
      </c>
    </row>
    <row r="43" spans="4:7" x14ac:dyDescent="0.25">
      <c r="D43">
        <f>IF(CANCIONES!$C$5:$C$2500=Index!$C$2,ROW())</f>
        <v>43</v>
      </c>
      <c r="G43" t="str">
        <f>IFERROR(INDEX(CANCIONES!$C$5:$C$13,MATCH(ROWS(CANCIONES!$A$5:A43),CANCIONES!$A$5:$A$13,0)),"")</f>
        <v/>
      </c>
    </row>
    <row r="44" spans="4:7" x14ac:dyDescent="0.25">
      <c r="D44">
        <f>IF(CANCIONES!$C$5:$C$2500=Index!$C$2,ROW())</f>
        <v>44</v>
      </c>
      <c r="G44" t="str">
        <f>IFERROR(INDEX(CANCIONES!$C$5:$C$13,MATCH(ROWS(CANCIONES!$A$5:A44),CANCIONES!$A$5:$A$13,0)),"")</f>
        <v/>
      </c>
    </row>
    <row r="45" spans="4:7" x14ac:dyDescent="0.25">
      <c r="D45">
        <f>IF(CANCIONES!$C$5:$C$2500=Index!$C$2,ROW())</f>
        <v>45</v>
      </c>
      <c r="G45" t="str">
        <f>IFERROR(INDEX(CANCIONES!$C$5:$C$13,MATCH(ROWS(CANCIONES!$A$5:A45),CANCIONES!$A$5:$A$13,0)),"")</f>
        <v/>
      </c>
    </row>
    <row r="46" spans="4:7" x14ac:dyDescent="0.25">
      <c r="D46">
        <f>IF(CANCIONES!$C$5:$C$2500=Index!$C$2,ROW())</f>
        <v>46</v>
      </c>
      <c r="G46" t="str">
        <f>IFERROR(INDEX(CANCIONES!$C$5:$C$13,MATCH(ROWS(CANCIONES!$A$5:A46),CANCIONES!$A$5:$A$13,0)),"")</f>
        <v/>
      </c>
    </row>
    <row r="47" spans="4:7" x14ac:dyDescent="0.25">
      <c r="D47">
        <f>IF(CANCIONES!$C$5:$C$2500=Index!$C$2,ROW())</f>
        <v>47</v>
      </c>
      <c r="G47" t="str">
        <f>IFERROR(INDEX(CANCIONES!$C$5:$C$13,MATCH(ROWS(CANCIONES!$A$5:A47),CANCIONES!$A$5:$A$13,0)),"")</f>
        <v/>
      </c>
    </row>
    <row r="48" spans="4:7" x14ac:dyDescent="0.25">
      <c r="D48">
        <f>IF(CANCIONES!$C$5:$C$2500=Index!$C$2,ROW())</f>
        <v>48</v>
      </c>
      <c r="G48" t="str">
        <f>IFERROR(INDEX(CANCIONES!$C$5:$C$13,MATCH(ROWS(CANCIONES!$A$5:A48),CANCIONES!$A$5:$A$13,0)),"")</f>
        <v/>
      </c>
    </row>
    <row r="49" spans="4:7" x14ac:dyDescent="0.25">
      <c r="D49">
        <f>IF(CANCIONES!$C$5:$C$2500=Index!$C$2,ROW())</f>
        <v>49</v>
      </c>
      <c r="G49" t="str">
        <f>IFERROR(INDEX(CANCIONES!$C$5:$C$13,MATCH(ROWS(CANCIONES!$A$5:A49),CANCIONES!$A$5:$A$13,0)),"")</f>
        <v/>
      </c>
    </row>
    <row r="50" spans="4:7" x14ac:dyDescent="0.25">
      <c r="D50">
        <f>IF(CANCIONES!$C$5:$C$2500=Index!$C$2,ROW())</f>
        <v>50</v>
      </c>
      <c r="G50" t="str">
        <f>IFERROR(INDEX(CANCIONES!$C$5:$C$13,MATCH(ROWS(CANCIONES!$A$5:A50),CANCIONES!$A$5:$A$13,0)),"")</f>
        <v/>
      </c>
    </row>
    <row r="51" spans="4:7" x14ac:dyDescent="0.25">
      <c r="D51">
        <f>IF(CANCIONES!$C$5:$C$2500=Index!$C$2,ROW())</f>
        <v>51</v>
      </c>
      <c r="G51" t="str">
        <f>IFERROR(INDEX(CANCIONES!$C$5:$C$13,MATCH(ROWS(CANCIONES!$A$5:A51),CANCIONES!$A$5:$A$13,0)),"")</f>
        <v/>
      </c>
    </row>
    <row r="52" spans="4:7" x14ac:dyDescent="0.25">
      <c r="D52">
        <f>IF(CANCIONES!$C$5:$C$2500=Index!$C$2,ROW())</f>
        <v>52</v>
      </c>
      <c r="G52" t="str">
        <f>IFERROR(INDEX(CANCIONES!$C$5:$C$13,MATCH(ROWS(CANCIONES!$A$5:A52),CANCIONES!$A$5:$A$13,0)),"")</f>
        <v/>
      </c>
    </row>
    <row r="53" spans="4:7" x14ac:dyDescent="0.25">
      <c r="D53">
        <f>IF(CANCIONES!$C$5:$C$2500=Index!$C$2,ROW())</f>
        <v>53</v>
      </c>
      <c r="G53" t="str">
        <f>IFERROR(INDEX(CANCIONES!$C$5:$C$13,MATCH(ROWS(CANCIONES!$A$5:A53),CANCIONES!$A$5:$A$13,0)),"")</f>
        <v/>
      </c>
    </row>
    <row r="54" spans="4:7" x14ac:dyDescent="0.25">
      <c r="D54">
        <f>IF(CANCIONES!$C$5:$C$2500=Index!$C$2,ROW())</f>
        <v>54</v>
      </c>
      <c r="G54" t="str">
        <f>IFERROR(INDEX(CANCIONES!$C$5:$C$13,MATCH(ROWS(CANCIONES!$A$5:A54),CANCIONES!$A$5:$A$13,0)),"")</f>
        <v/>
      </c>
    </row>
    <row r="55" spans="4:7" x14ac:dyDescent="0.25">
      <c r="D55">
        <f>IF(CANCIONES!$C$5:$C$2500=Index!$C$2,ROW())</f>
        <v>55</v>
      </c>
      <c r="G55" t="str">
        <f>IFERROR(INDEX(CANCIONES!$C$5:$C$13,MATCH(ROWS(CANCIONES!$A$5:A55),CANCIONES!$A$5:$A$13,0)),"")</f>
        <v/>
      </c>
    </row>
    <row r="56" spans="4:7" x14ac:dyDescent="0.25">
      <c r="D56">
        <f>IF(CANCIONES!$C$5:$C$2500=Index!$C$2,ROW())</f>
        <v>56</v>
      </c>
      <c r="G56" t="str">
        <f>IFERROR(INDEX(CANCIONES!$C$5:$C$13,MATCH(ROWS(CANCIONES!$A$5:A56),CANCIONES!$A$5:$A$13,0)),"")</f>
        <v/>
      </c>
    </row>
    <row r="57" spans="4:7" x14ac:dyDescent="0.25">
      <c r="D57">
        <f>IF(CANCIONES!$C$5:$C$2500=Index!$C$2,ROW())</f>
        <v>57</v>
      </c>
      <c r="G57" t="str">
        <f>IFERROR(INDEX(CANCIONES!$C$5:$C$13,MATCH(ROWS(CANCIONES!$A$5:A57),CANCIONES!$A$5:$A$13,0)),"")</f>
        <v/>
      </c>
    </row>
    <row r="58" spans="4:7" x14ac:dyDescent="0.25">
      <c r="D58">
        <f>IF(CANCIONES!$C$5:$C$2500=Index!$C$2,ROW())</f>
        <v>58</v>
      </c>
      <c r="G58" t="str">
        <f>IFERROR(INDEX(CANCIONES!$C$5:$C$13,MATCH(ROWS(CANCIONES!$A$5:A58),CANCIONES!$A$5:$A$13,0)),"")</f>
        <v/>
      </c>
    </row>
    <row r="59" spans="4:7" x14ac:dyDescent="0.25">
      <c r="D59">
        <f>IF(CANCIONES!$C$5:$C$2500=Index!$C$2,ROW())</f>
        <v>59</v>
      </c>
      <c r="G59" t="str">
        <f>IFERROR(INDEX(CANCIONES!$C$5:$C$13,MATCH(ROWS(CANCIONES!$A$5:A59),CANCIONES!$A$5:$A$13,0)),"")</f>
        <v/>
      </c>
    </row>
    <row r="60" spans="4:7" x14ac:dyDescent="0.25">
      <c r="D60">
        <f>IF(CANCIONES!$C$5:$C$2500=Index!$C$2,ROW())</f>
        <v>60</v>
      </c>
      <c r="G60" t="str">
        <f>IFERROR(INDEX(CANCIONES!$C$5:$C$13,MATCH(ROWS(CANCIONES!$A$5:A60),CANCIONES!$A$5:$A$13,0)),"")</f>
        <v/>
      </c>
    </row>
    <row r="61" spans="4:7" x14ac:dyDescent="0.25">
      <c r="D61">
        <f>IF(CANCIONES!$C$5:$C$2500=Index!$C$2,ROW())</f>
        <v>61</v>
      </c>
      <c r="G61" t="str">
        <f>IFERROR(INDEX(CANCIONES!$C$5:$C$13,MATCH(ROWS(CANCIONES!$A$5:A61),CANCIONES!$A$5:$A$13,0)),"")</f>
        <v/>
      </c>
    </row>
    <row r="62" spans="4:7" x14ac:dyDescent="0.25">
      <c r="D62">
        <f>IF(CANCIONES!$C$5:$C$2500=Index!$C$2,ROW())</f>
        <v>62</v>
      </c>
    </row>
    <row r="63" spans="4:7" x14ac:dyDescent="0.25">
      <c r="D63">
        <f>IF(CANCIONES!$C$5:$C$2500=Index!$C$2,ROW())</f>
        <v>63</v>
      </c>
    </row>
    <row r="64" spans="4:7" x14ac:dyDescent="0.25">
      <c r="D64">
        <f>IF(CANCIONES!$C$5:$C$2500=Index!$C$2,ROW())</f>
        <v>64</v>
      </c>
    </row>
    <row r="65" spans="4:4" x14ac:dyDescent="0.25">
      <c r="D65">
        <f>IF(CANCIONES!$C$5:$C$2500=Index!$C$2,ROW())</f>
        <v>65</v>
      </c>
    </row>
    <row r="66" spans="4:4" x14ac:dyDescent="0.25">
      <c r="D66">
        <f>IF(CANCIONES!$C$5:$C$2500=Index!$C$2,ROW())</f>
        <v>66</v>
      </c>
    </row>
    <row r="67" spans="4:4" x14ac:dyDescent="0.25">
      <c r="D67">
        <f>IF(CANCIONES!$C$5:$C$2500=Index!$C$2,ROW())</f>
        <v>67</v>
      </c>
    </row>
    <row r="68" spans="4:4" x14ac:dyDescent="0.25">
      <c r="D68">
        <f>IF(CANCIONES!$C$5:$C$2500=Index!$C$2,ROW())</f>
        <v>68</v>
      </c>
    </row>
    <row r="69" spans="4:4" x14ac:dyDescent="0.25">
      <c r="D69">
        <f>IF(CANCIONES!$C$5:$C$2500=Index!$C$2,ROW())</f>
        <v>69</v>
      </c>
    </row>
    <row r="70" spans="4:4" x14ac:dyDescent="0.25">
      <c r="D70">
        <f>IF(CANCIONES!$C$5:$C$2500=Index!$C$2,ROW())</f>
        <v>70</v>
      </c>
    </row>
    <row r="71" spans="4:4" x14ac:dyDescent="0.25">
      <c r="D71">
        <f>IF(CANCIONES!$C$5:$C$2500=Index!$C$2,ROW())</f>
        <v>71</v>
      </c>
    </row>
    <row r="72" spans="4:4" x14ac:dyDescent="0.25">
      <c r="D72">
        <f>IF(CANCIONES!$C$5:$C$2500=Index!$C$2,ROW())</f>
        <v>72</v>
      </c>
    </row>
    <row r="73" spans="4:4" x14ac:dyDescent="0.25">
      <c r="D73">
        <f>IF(CANCIONES!$C$5:$C$2500=Index!$C$2,ROW())</f>
        <v>73</v>
      </c>
    </row>
    <row r="74" spans="4:4" x14ac:dyDescent="0.25">
      <c r="D74">
        <f>IF(CANCIONES!$C$5:$C$2500=Index!$C$2,ROW())</f>
        <v>74</v>
      </c>
    </row>
    <row r="75" spans="4:4" x14ac:dyDescent="0.25">
      <c r="D75">
        <f>IF(CANCIONES!$C$5:$C$2500=Index!$C$2,ROW())</f>
        <v>75</v>
      </c>
    </row>
    <row r="76" spans="4:4" x14ac:dyDescent="0.25">
      <c r="D76">
        <f>IF(CANCIONES!$C$5:$C$2500=Index!$C$2,ROW())</f>
        <v>76</v>
      </c>
    </row>
    <row r="77" spans="4:4" x14ac:dyDescent="0.25">
      <c r="D77">
        <f>IF(CANCIONES!$C$5:$C$2500=Index!$C$2,ROW())</f>
        <v>77</v>
      </c>
    </row>
    <row r="78" spans="4:4" x14ac:dyDescent="0.25">
      <c r="D78">
        <f>IF(CANCIONES!$C$5:$C$2500=Index!$C$2,ROW())</f>
        <v>78</v>
      </c>
    </row>
    <row r="79" spans="4:4" x14ac:dyDescent="0.25">
      <c r="D79">
        <f>IF(CANCIONES!$C$5:$C$2500=Index!$C$2,ROW())</f>
        <v>79</v>
      </c>
    </row>
    <row r="80" spans="4:4" x14ac:dyDescent="0.25">
      <c r="D80">
        <f>IF(CANCIONES!$C$5:$C$2500=Index!$C$2,ROW())</f>
        <v>80</v>
      </c>
    </row>
    <row r="81" spans="4:4" x14ac:dyDescent="0.25">
      <c r="D81">
        <f>IF(CANCIONES!$C$5:$C$2500=Index!$C$2,ROW())</f>
        <v>81</v>
      </c>
    </row>
    <row r="82" spans="4:4" x14ac:dyDescent="0.25">
      <c r="D82">
        <f>IF(CANCIONES!$C$5:$C$2500=Index!$C$2,ROW())</f>
        <v>82</v>
      </c>
    </row>
    <row r="83" spans="4:4" x14ac:dyDescent="0.25">
      <c r="D83">
        <f>IF(CANCIONES!$C$5:$C$2500=Index!$C$2,ROW())</f>
        <v>83</v>
      </c>
    </row>
    <row r="84" spans="4:4" x14ac:dyDescent="0.25">
      <c r="D84">
        <f>IF(CANCIONES!$C$5:$C$2500=Index!$C$2,ROW())</f>
        <v>84</v>
      </c>
    </row>
    <row r="85" spans="4:4" x14ac:dyDescent="0.25">
      <c r="D85">
        <f>IF(CANCIONES!$C$5:$C$2500=Index!$C$2,ROW())</f>
        <v>85</v>
      </c>
    </row>
    <row r="86" spans="4:4" x14ac:dyDescent="0.25">
      <c r="D86">
        <f>IF(CANCIONES!$C$5:$C$2500=Index!$C$2,ROW())</f>
        <v>86</v>
      </c>
    </row>
    <row r="87" spans="4:4" x14ac:dyDescent="0.25">
      <c r="D87">
        <f>IF(CANCIONES!$C$5:$C$2500=Index!$C$2,ROW())</f>
        <v>87</v>
      </c>
    </row>
    <row r="88" spans="4:4" x14ac:dyDescent="0.25">
      <c r="D88">
        <f>IF(CANCIONES!$C$5:$C$2500=Index!$C$2,ROW())</f>
        <v>88</v>
      </c>
    </row>
    <row r="89" spans="4:4" x14ac:dyDescent="0.25">
      <c r="D89">
        <f>IF(CANCIONES!$C$5:$C$2500=Index!$C$2,ROW())</f>
        <v>89</v>
      </c>
    </row>
    <row r="90" spans="4:4" x14ac:dyDescent="0.25">
      <c r="D90">
        <f>IF(CANCIONES!$C$5:$C$2500=Index!$C$2,ROW())</f>
        <v>90</v>
      </c>
    </row>
    <row r="91" spans="4:4" x14ac:dyDescent="0.25">
      <c r="D91">
        <f>IF(CANCIONES!$C$5:$C$2500=Index!$C$2,ROW())</f>
        <v>91</v>
      </c>
    </row>
    <row r="92" spans="4:4" x14ac:dyDescent="0.25">
      <c r="D92">
        <f>IF(CANCIONES!$C$5:$C$2500=Index!$C$2,ROW())</f>
        <v>92</v>
      </c>
    </row>
    <row r="93" spans="4:4" x14ac:dyDescent="0.25">
      <c r="D93">
        <f>IF(CANCIONES!$C$5:$C$2500=Index!$C$2,ROW())</f>
        <v>93</v>
      </c>
    </row>
    <row r="94" spans="4:4" x14ac:dyDescent="0.25">
      <c r="D94">
        <f>IF(CANCIONES!$C$5:$C$2500=Index!$C$2,ROW())</f>
        <v>94</v>
      </c>
    </row>
    <row r="95" spans="4:4" x14ac:dyDescent="0.25">
      <c r="D95">
        <f>IF(CANCIONES!$C$5:$C$2500=Index!$C$2,ROW())</f>
        <v>95</v>
      </c>
    </row>
    <row r="96" spans="4:4" x14ac:dyDescent="0.25">
      <c r="D96">
        <f>IF(CANCIONES!$C$5:$C$2500=Index!$C$2,ROW())</f>
        <v>96</v>
      </c>
    </row>
    <row r="97" spans="4:4" x14ac:dyDescent="0.25">
      <c r="D97">
        <f>IF(CANCIONES!$C$5:$C$2500=Index!$C$2,ROW())</f>
        <v>97</v>
      </c>
    </row>
    <row r="98" spans="4:4" x14ac:dyDescent="0.25">
      <c r="D98">
        <f>IF(CANCIONES!$C$5:$C$2500=Index!$C$2,ROW())</f>
        <v>98</v>
      </c>
    </row>
    <row r="99" spans="4:4" x14ac:dyDescent="0.25">
      <c r="D99">
        <f>IF(CANCIONES!$C$5:$C$2500=Index!$C$2,ROW())</f>
        <v>99</v>
      </c>
    </row>
    <row r="100" spans="4:4" x14ac:dyDescent="0.25">
      <c r="D100">
        <f>IF(CANCIONES!$C$5:$C$2500=Index!$C$2,ROW())</f>
        <v>100</v>
      </c>
    </row>
    <row r="101" spans="4:4" x14ac:dyDescent="0.25">
      <c r="D101">
        <f>IF(CANCIONES!$C$5:$C$2500=Index!$C$2,ROW())</f>
        <v>101</v>
      </c>
    </row>
    <row r="102" spans="4:4" x14ac:dyDescent="0.25">
      <c r="D102">
        <f>IF(CANCIONES!$C$5:$C$2500=Index!$C$2,ROW())</f>
        <v>102</v>
      </c>
    </row>
    <row r="103" spans="4:4" x14ac:dyDescent="0.25">
      <c r="D103">
        <f>IF(CANCIONES!$C$5:$C$2500=Index!$C$2,ROW())</f>
        <v>103</v>
      </c>
    </row>
    <row r="104" spans="4:4" x14ac:dyDescent="0.25">
      <c r="D104">
        <f>IF(CANCIONES!$C$5:$C$2500=Index!$C$2,ROW())</f>
        <v>104</v>
      </c>
    </row>
    <row r="105" spans="4:4" x14ac:dyDescent="0.25">
      <c r="D105">
        <f>IF(CANCIONES!$C$5:$C$2500=Index!$C$2,ROW())</f>
        <v>105</v>
      </c>
    </row>
    <row r="106" spans="4:4" x14ac:dyDescent="0.25">
      <c r="D106">
        <f>IF(CANCIONES!$C$5:$C$2500=Index!$C$2,ROW())</f>
        <v>106</v>
      </c>
    </row>
    <row r="107" spans="4:4" x14ac:dyDescent="0.25">
      <c r="D107">
        <f>IF(CANCIONES!$C$5:$C$2500=Index!$C$2,ROW())</f>
        <v>107</v>
      </c>
    </row>
    <row r="108" spans="4:4" x14ac:dyDescent="0.25">
      <c r="D108">
        <f>IF(CANCIONES!$C$5:$C$2500=Index!$C$2,ROW())</f>
        <v>108</v>
      </c>
    </row>
    <row r="109" spans="4:4" x14ac:dyDescent="0.25">
      <c r="D109">
        <f>IF(CANCIONES!$C$5:$C$2500=Index!$C$2,ROW())</f>
        <v>109</v>
      </c>
    </row>
    <row r="110" spans="4:4" x14ac:dyDescent="0.25">
      <c r="D110">
        <f>IF(CANCIONES!$C$5:$C$2500=Index!$C$2,ROW())</f>
        <v>110</v>
      </c>
    </row>
    <row r="111" spans="4:4" x14ac:dyDescent="0.25">
      <c r="D111">
        <f>IF(CANCIONES!$C$5:$C$2500=Index!$C$2,ROW())</f>
        <v>111</v>
      </c>
    </row>
    <row r="112" spans="4:4" x14ac:dyDescent="0.25">
      <c r="D112">
        <f>IF(CANCIONES!$C$5:$C$2500=Index!$C$2,ROW())</f>
        <v>112</v>
      </c>
    </row>
    <row r="113" spans="4:4" x14ac:dyDescent="0.25">
      <c r="D113">
        <f>IF(CANCIONES!$C$5:$C$2500=Index!$C$2,ROW())</f>
        <v>113</v>
      </c>
    </row>
    <row r="114" spans="4:4" x14ac:dyDescent="0.25">
      <c r="D114">
        <f>IF(CANCIONES!$C$5:$C$2500=Index!$C$2,ROW())</f>
        <v>114</v>
      </c>
    </row>
    <row r="115" spans="4:4" x14ac:dyDescent="0.25">
      <c r="D115">
        <f>IF(CANCIONES!$C$5:$C$2500=Index!$C$2,ROW())</f>
        <v>115</v>
      </c>
    </row>
    <row r="116" spans="4:4" x14ac:dyDescent="0.25">
      <c r="D116">
        <f>IF(CANCIONES!$C$5:$C$2500=Index!$C$2,ROW())</f>
        <v>116</v>
      </c>
    </row>
    <row r="117" spans="4:4" x14ac:dyDescent="0.25">
      <c r="D117">
        <f>IF(CANCIONES!$C$5:$C$2500=Index!$C$2,ROW())</f>
        <v>117</v>
      </c>
    </row>
    <row r="118" spans="4:4" x14ac:dyDescent="0.25">
      <c r="D118">
        <f>IF(CANCIONES!$C$5:$C$2500=Index!$C$2,ROW())</f>
        <v>118</v>
      </c>
    </row>
    <row r="119" spans="4:4" x14ac:dyDescent="0.25">
      <c r="D119">
        <f>IF(CANCIONES!$C$5:$C$2500=Index!$C$2,ROW())</f>
        <v>119</v>
      </c>
    </row>
    <row r="120" spans="4:4" x14ac:dyDescent="0.25">
      <c r="D120">
        <f>IF(CANCIONES!$C$5:$C$2500=Index!$C$2,ROW())</f>
        <v>120</v>
      </c>
    </row>
    <row r="121" spans="4:4" x14ac:dyDescent="0.25">
      <c r="D121">
        <f>IF(CANCIONES!$C$5:$C$2500=Index!$C$2,ROW())</f>
        <v>121</v>
      </c>
    </row>
    <row r="122" spans="4:4" x14ac:dyDescent="0.25">
      <c r="D122">
        <f>IF(CANCIONES!$C$5:$C$2500=Index!$C$2,ROW())</f>
        <v>122</v>
      </c>
    </row>
    <row r="123" spans="4:4" x14ac:dyDescent="0.25">
      <c r="D123">
        <f>IF(CANCIONES!$C$5:$C$2500=Index!$C$2,ROW())</f>
        <v>123</v>
      </c>
    </row>
    <row r="124" spans="4:4" x14ac:dyDescent="0.25">
      <c r="D124">
        <f>IF(CANCIONES!$C$5:$C$2500=Index!$C$2,ROW())</f>
        <v>124</v>
      </c>
    </row>
    <row r="125" spans="4:4" x14ac:dyDescent="0.25">
      <c r="D125">
        <f>IF(CANCIONES!$C$5:$C$2500=Index!$C$2,ROW())</f>
        <v>125</v>
      </c>
    </row>
    <row r="126" spans="4:4" x14ac:dyDescent="0.25">
      <c r="D126">
        <f>IF(CANCIONES!$C$5:$C$2500=Index!$C$2,ROW())</f>
        <v>126</v>
      </c>
    </row>
    <row r="127" spans="4:4" x14ac:dyDescent="0.25">
      <c r="D127">
        <f>IF(CANCIONES!$C$5:$C$2500=Index!$C$2,ROW())</f>
        <v>127</v>
      </c>
    </row>
    <row r="128" spans="4:4" x14ac:dyDescent="0.25">
      <c r="D128">
        <f>IF(CANCIONES!$C$5:$C$2500=Index!$C$2,ROW())</f>
        <v>128</v>
      </c>
    </row>
    <row r="129" spans="4:4" x14ac:dyDescent="0.25">
      <c r="D129">
        <f>IF(CANCIONES!$C$5:$C$2500=Index!$C$2,ROW())</f>
        <v>129</v>
      </c>
    </row>
    <row r="130" spans="4:4" x14ac:dyDescent="0.25">
      <c r="D130">
        <f>IF(CANCIONES!$C$5:$C$2500=Index!$C$2,ROW())</f>
        <v>130</v>
      </c>
    </row>
    <row r="131" spans="4:4" x14ac:dyDescent="0.25">
      <c r="D131">
        <f>IF(CANCIONES!$C$5:$C$2500=Index!$C$2,ROW())</f>
        <v>131</v>
      </c>
    </row>
    <row r="132" spans="4:4" x14ac:dyDescent="0.25">
      <c r="D132">
        <f>IF(CANCIONES!$C$5:$C$2500=Index!$C$2,ROW())</f>
        <v>132</v>
      </c>
    </row>
    <row r="133" spans="4:4" x14ac:dyDescent="0.25">
      <c r="D133">
        <f>IF(CANCIONES!$C$5:$C$2500=Index!$C$2,ROW())</f>
        <v>133</v>
      </c>
    </row>
    <row r="134" spans="4:4" x14ac:dyDescent="0.25">
      <c r="D134">
        <f>IF(CANCIONES!$C$5:$C$2500=Index!$C$2,ROW())</f>
        <v>134</v>
      </c>
    </row>
    <row r="135" spans="4:4" x14ac:dyDescent="0.25">
      <c r="D135">
        <f>IF(CANCIONES!$C$5:$C$2500=Index!$C$2,ROW())</f>
        <v>135</v>
      </c>
    </row>
    <row r="136" spans="4:4" x14ac:dyDescent="0.25">
      <c r="D136">
        <f>IF(CANCIONES!$C$5:$C$2500=Index!$C$2,ROW())</f>
        <v>136</v>
      </c>
    </row>
    <row r="137" spans="4:4" x14ac:dyDescent="0.25">
      <c r="D137">
        <f>IF(CANCIONES!$C$5:$C$2500=Index!$C$2,ROW())</f>
        <v>137</v>
      </c>
    </row>
    <row r="138" spans="4:4" x14ac:dyDescent="0.25">
      <c r="D138">
        <f>IF(CANCIONES!$C$5:$C$2500=Index!$C$2,ROW())</f>
        <v>138</v>
      </c>
    </row>
    <row r="139" spans="4:4" x14ac:dyDescent="0.25">
      <c r="D139">
        <f>IF(CANCIONES!$C$5:$C$2500=Index!$C$2,ROW())</f>
        <v>139</v>
      </c>
    </row>
    <row r="140" spans="4:4" x14ac:dyDescent="0.25">
      <c r="D140">
        <f>IF(CANCIONES!$C$5:$C$2500=Index!$C$2,ROW())</f>
        <v>140</v>
      </c>
    </row>
    <row r="141" spans="4:4" x14ac:dyDescent="0.25">
      <c r="D141">
        <f>IF(CANCIONES!$C$5:$C$2500=Index!$C$2,ROW())</f>
        <v>141</v>
      </c>
    </row>
    <row r="142" spans="4:4" x14ac:dyDescent="0.25">
      <c r="D142">
        <f>IF(CANCIONES!$C$5:$C$2500=Index!$C$2,ROW())</f>
        <v>142</v>
      </c>
    </row>
    <row r="143" spans="4:4" x14ac:dyDescent="0.25">
      <c r="D143">
        <f>IF(CANCIONES!$C$5:$C$2500=Index!$C$2,ROW())</f>
        <v>143</v>
      </c>
    </row>
    <row r="144" spans="4:4" x14ac:dyDescent="0.25">
      <c r="D144">
        <f>IF(CANCIONES!$C$5:$C$2500=Index!$C$2,ROW())</f>
        <v>144</v>
      </c>
    </row>
    <row r="145" spans="4:4" x14ac:dyDescent="0.25">
      <c r="D145">
        <f>IF(CANCIONES!$C$5:$C$2500=Index!$C$2,ROW())</f>
        <v>145</v>
      </c>
    </row>
    <row r="146" spans="4:4" x14ac:dyDescent="0.25">
      <c r="D146">
        <f>IF(CANCIONES!$C$5:$C$2500=Index!$C$2,ROW())</f>
        <v>146</v>
      </c>
    </row>
    <row r="147" spans="4:4" x14ac:dyDescent="0.25">
      <c r="D147">
        <f>IF(CANCIONES!$C$5:$C$2500=Index!$C$2,ROW())</f>
        <v>147</v>
      </c>
    </row>
    <row r="148" spans="4:4" x14ac:dyDescent="0.25">
      <c r="D148">
        <f>IF(CANCIONES!$C$5:$C$2500=Index!$C$2,ROW())</f>
        <v>148</v>
      </c>
    </row>
    <row r="149" spans="4:4" x14ac:dyDescent="0.25">
      <c r="D149">
        <f>IF(CANCIONES!$C$5:$C$2500=Index!$C$2,ROW())</f>
        <v>149</v>
      </c>
    </row>
    <row r="150" spans="4:4" x14ac:dyDescent="0.25">
      <c r="D150">
        <f>IF(CANCIONES!$C$5:$C$2500=Index!$C$2,ROW())</f>
        <v>150</v>
      </c>
    </row>
    <row r="151" spans="4:4" x14ac:dyDescent="0.25">
      <c r="D151">
        <f>IF(CANCIONES!$C$5:$C$2500=Index!$C$2,ROW())</f>
        <v>151</v>
      </c>
    </row>
    <row r="152" spans="4:4" x14ac:dyDescent="0.25">
      <c r="D152">
        <f>IF(CANCIONES!$C$5:$C$2500=Index!$C$2,ROW())</f>
        <v>152</v>
      </c>
    </row>
    <row r="153" spans="4:4" x14ac:dyDescent="0.25">
      <c r="D153">
        <f>IF(CANCIONES!$C$5:$C$2500=Index!$C$2,ROW())</f>
        <v>153</v>
      </c>
    </row>
    <row r="154" spans="4:4" x14ac:dyDescent="0.25">
      <c r="D154">
        <f>IF(CANCIONES!$C$5:$C$2500=Index!$C$2,ROW())</f>
        <v>154</v>
      </c>
    </row>
    <row r="155" spans="4:4" x14ac:dyDescent="0.25">
      <c r="D155">
        <f>IF(CANCIONES!$C$5:$C$2500=Index!$C$2,ROW())</f>
        <v>155</v>
      </c>
    </row>
    <row r="156" spans="4:4" x14ac:dyDescent="0.25">
      <c r="D156">
        <f>IF(CANCIONES!$C$5:$C$2500=Index!$C$2,ROW())</f>
        <v>156</v>
      </c>
    </row>
    <row r="157" spans="4:4" x14ac:dyDescent="0.25">
      <c r="D157">
        <f>IF(CANCIONES!$C$5:$C$2500=Index!$C$2,ROW())</f>
        <v>157</v>
      </c>
    </row>
    <row r="158" spans="4:4" x14ac:dyDescent="0.25">
      <c r="D158">
        <f>IF(CANCIONES!$C$5:$C$2500=Index!$C$2,ROW())</f>
        <v>158</v>
      </c>
    </row>
    <row r="159" spans="4:4" x14ac:dyDescent="0.25">
      <c r="D159">
        <f>IF(CANCIONES!$C$5:$C$2500=Index!$C$2,ROW())</f>
        <v>159</v>
      </c>
    </row>
    <row r="160" spans="4:4" x14ac:dyDescent="0.25">
      <c r="D160">
        <f>IF(CANCIONES!$C$5:$C$2500=Index!$C$2,ROW())</f>
        <v>160</v>
      </c>
    </row>
    <row r="161" spans="4:4" x14ac:dyDescent="0.25">
      <c r="D161">
        <f>IF(CANCIONES!$C$5:$C$2500=Index!$C$2,ROW())</f>
        <v>161</v>
      </c>
    </row>
    <row r="162" spans="4:4" x14ac:dyDescent="0.25">
      <c r="D162">
        <f>IF(CANCIONES!$C$5:$C$2500=Index!$C$2,ROW())</f>
        <v>162</v>
      </c>
    </row>
    <row r="163" spans="4:4" x14ac:dyDescent="0.25">
      <c r="D163">
        <f>IF(CANCIONES!$C$5:$C$2500=Index!$C$2,ROW())</f>
        <v>163</v>
      </c>
    </row>
    <row r="164" spans="4:4" x14ac:dyDescent="0.25">
      <c r="D164">
        <f>IF(CANCIONES!$C$5:$C$2500=Index!$C$2,ROW())</f>
        <v>164</v>
      </c>
    </row>
    <row r="165" spans="4:4" x14ac:dyDescent="0.25">
      <c r="D165">
        <f>IF(CANCIONES!$C$5:$C$2500=Index!$C$2,ROW())</f>
        <v>165</v>
      </c>
    </row>
    <row r="166" spans="4:4" x14ac:dyDescent="0.25">
      <c r="D166">
        <f>IF(CANCIONES!$C$5:$C$2500=Index!$C$2,ROW())</f>
        <v>166</v>
      </c>
    </row>
    <row r="167" spans="4:4" x14ac:dyDescent="0.25">
      <c r="D167">
        <f>IF(CANCIONES!$C$5:$C$2500=Index!$C$2,ROW())</f>
        <v>167</v>
      </c>
    </row>
    <row r="168" spans="4:4" x14ac:dyDescent="0.25">
      <c r="D168">
        <f>IF(CANCIONES!$C$5:$C$2500=Index!$C$2,ROW())</f>
        <v>168</v>
      </c>
    </row>
    <row r="169" spans="4:4" x14ac:dyDescent="0.25">
      <c r="D169">
        <f>IF(CANCIONES!$C$5:$C$2500=Index!$C$2,ROW())</f>
        <v>169</v>
      </c>
    </row>
    <row r="170" spans="4:4" x14ac:dyDescent="0.25">
      <c r="D170">
        <f>IF(CANCIONES!$C$5:$C$2500=Index!$C$2,ROW())</f>
        <v>170</v>
      </c>
    </row>
    <row r="171" spans="4:4" x14ac:dyDescent="0.25">
      <c r="D171">
        <f>IF(CANCIONES!$C$5:$C$2500=Index!$C$2,ROW())</f>
        <v>171</v>
      </c>
    </row>
    <row r="172" spans="4:4" x14ac:dyDescent="0.25">
      <c r="D172">
        <f>IF(CANCIONES!$C$5:$C$2500=Index!$C$2,ROW())</f>
        <v>172</v>
      </c>
    </row>
    <row r="173" spans="4:4" x14ac:dyDescent="0.25">
      <c r="D173">
        <f>IF(CANCIONES!$C$5:$C$2500=Index!$C$2,ROW())</f>
        <v>173</v>
      </c>
    </row>
    <row r="174" spans="4:4" x14ac:dyDescent="0.25">
      <c r="D174">
        <f>IF(CANCIONES!$C$5:$C$2500=Index!$C$2,ROW())</f>
        <v>174</v>
      </c>
    </row>
    <row r="175" spans="4:4" x14ac:dyDescent="0.25">
      <c r="D175">
        <f>IF(CANCIONES!$C$5:$C$2500=Index!$C$2,ROW())</f>
        <v>175</v>
      </c>
    </row>
    <row r="176" spans="4:4" x14ac:dyDescent="0.25">
      <c r="D176">
        <f>IF(CANCIONES!$C$5:$C$2500=Index!$C$2,ROW())</f>
        <v>176</v>
      </c>
    </row>
    <row r="177" spans="4:4" x14ac:dyDescent="0.25">
      <c r="D177">
        <f>IF(CANCIONES!$C$5:$C$2500=Index!$C$2,ROW())</f>
        <v>177</v>
      </c>
    </row>
    <row r="178" spans="4:4" x14ac:dyDescent="0.25">
      <c r="D178">
        <f>IF(CANCIONES!$C$5:$C$2500=Index!$C$2,ROW())</f>
        <v>178</v>
      </c>
    </row>
    <row r="179" spans="4:4" x14ac:dyDescent="0.25">
      <c r="D179">
        <f>IF(CANCIONES!$C$5:$C$2500=Index!$C$2,ROW())</f>
        <v>179</v>
      </c>
    </row>
    <row r="180" spans="4:4" x14ac:dyDescent="0.25">
      <c r="D180">
        <f>IF(CANCIONES!$C$5:$C$2500=Index!$C$2,ROW())</f>
        <v>180</v>
      </c>
    </row>
    <row r="181" spans="4:4" x14ac:dyDescent="0.25">
      <c r="D181">
        <f>IF(CANCIONES!$C$5:$C$2500=Index!$C$2,ROW())</f>
        <v>181</v>
      </c>
    </row>
    <row r="182" spans="4:4" x14ac:dyDescent="0.25">
      <c r="D182">
        <f>IF(CANCIONES!$C$5:$C$2500=Index!$C$2,ROW())</f>
        <v>182</v>
      </c>
    </row>
    <row r="183" spans="4:4" x14ac:dyDescent="0.25">
      <c r="D183">
        <f>IF(CANCIONES!$C$5:$C$2500=Index!$C$2,ROW())</f>
        <v>183</v>
      </c>
    </row>
    <row r="184" spans="4:4" x14ac:dyDescent="0.25">
      <c r="D184">
        <f>IF(CANCIONES!$C$5:$C$2500=Index!$C$2,ROW())</f>
        <v>184</v>
      </c>
    </row>
    <row r="185" spans="4:4" x14ac:dyDescent="0.25">
      <c r="D185">
        <f>IF(CANCIONES!$C$5:$C$2500=Index!$C$2,ROW())</f>
        <v>185</v>
      </c>
    </row>
    <row r="186" spans="4:4" x14ac:dyDescent="0.25">
      <c r="D186">
        <f>IF(CANCIONES!$C$5:$C$2500=Index!$C$2,ROW())</f>
        <v>186</v>
      </c>
    </row>
    <row r="187" spans="4:4" x14ac:dyDescent="0.25">
      <c r="D187">
        <f>IF(CANCIONES!$C$5:$C$2500=Index!$C$2,ROW())</f>
        <v>187</v>
      </c>
    </row>
    <row r="188" spans="4:4" x14ac:dyDescent="0.25">
      <c r="D188">
        <f>IF(CANCIONES!$C$5:$C$2500=Index!$C$2,ROW())</f>
        <v>188</v>
      </c>
    </row>
    <row r="189" spans="4:4" x14ac:dyDescent="0.25">
      <c r="D189">
        <f>IF(CANCIONES!$C$5:$C$2500=Index!$C$2,ROW())</f>
        <v>189</v>
      </c>
    </row>
    <row r="190" spans="4:4" x14ac:dyDescent="0.25">
      <c r="D190">
        <f>IF(CANCIONES!$C$5:$C$2500=Index!$C$2,ROW())</f>
        <v>190</v>
      </c>
    </row>
    <row r="191" spans="4:4" x14ac:dyDescent="0.25">
      <c r="D191">
        <f>IF(CANCIONES!$C$5:$C$2500=Index!$C$2,ROW())</f>
        <v>191</v>
      </c>
    </row>
    <row r="192" spans="4:4" x14ac:dyDescent="0.25">
      <c r="D192">
        <f>IF(CANCIONES!$C$5:$C$2500=Index!$C$2,ROW())</f>
        <v>192</v>
      </c>
    </row>
    <row r="193" spans="4:4" x14ac:dyDescent="0.25">
      <c r="D193">
        <f>IF(CANCIONES!$C$5:$C$2500=Index!$C$2,ROW())</f>
        <v>193</v>
      </c>
    </row>
    <row r="194" spans="4:4" x14ac:dyDescent="0.25">
      <c r="D194">
        <f>IF(CANCIONES!$C$5:$C$2500=Index!$C$2,ROW())</f>
        <v>194</v>
      </c>
    </row>
    <row r="195" spans="4:4" x14ac:dyDescent="0.25">
      <c r="D195">
        <f>IF(CANCIONES!$C$5:$C$2500=Index!$C$2,ROW())</f>
        <v>195</v>
      </c>
    </row>
    <row r="196" spans="4:4" x14ac:dyDescent="0.25">
      <c r="D196">
        <f>IF(CANCIONES!$C$5:$C$2500=Index!$C$2,ROW())</f>
        <v>196</v>
      </c>
    </row>
    <row r="197" spans="4:4" x14ac:dyDescent="0.25">
      <c r="D197">
        <f>IF(CANCIONES!$C$5:$C$2500=Index!$C$2,ROW())</f>
        <v>197</v>
      </c>
    </row>
    <row r="198" spans="4:4" x14ac:dyDescent="0.25">
      <c r="D198">
        <f>IF(CANCIONES!$C$5:$C$2500=Index!$C$2,ROW())</f>
        <v>198</v>
      </c>
    </row>
    <row r="199" spans="4:4" x14ac:dyDescent="0.25">
      <c r="D199">
        <f>IF(CANCIONES!$C$5:$C$2500=Index!$C$2,ROW())</f>
        <v>199</v>
      </c>
    </row>
    <row r="200" spans="4:4" x14ac:dyDescent="0.25">
      <c r="D200">
        <f>IF(CANCIONES!$C$5:$C$2500=Index!$C$2,ROW())</f>
        <v>200</v>
      </c>
    </row>
    <row r="201" spans="4:4" x14ac:dyDescent="0.25">
      <c r="D201">
        <f>IF(CANCIONES!$C$5:$C$2500=Index!$C$2,ROW())</f>
        <v>201</v>
      </c>
    </row>
    <row r="202" spans="4:4" x14ac:dyDescent="0.25">
      <c r="D202">
        <f>IF(CANCIONES!$C$5:$C$2500=Index!$C$2,ROW())</f>
        <v>202</v>
      </c>
    </row>
    <row r="203" spans="4:4" x14ac:dyDescent="0.25">
      <c r="D203">
        <f>IF(CANCIONES!$C$5:$C$2500=Index!$C$2,ROW())</f>
        <v>203</v>
      </c>
    </row>
    <row r="204" spans="4:4" x14ac:dyDescent="0.25">
      <c r="D204">
        <f>IF(CANCIONES!$C$5:$C$2500=Index!$C$2,ROW())</f>
        <v>204</v>
      </c>
    </row>
    <row r="205" spans="4:4" x14ac:dyDescent="0.25">
      <c r="D205">
        <f>IF(CANCIONES!$C$5:$C$2500=Index!$C$2,ROW())</f>
        <v>205</v>
      </c>
    </row>
    <row r="206" spans="4:4" x14ac:dyDescent="0.25">
      <c r="D206">
        <f>IF(CANCIONES!$C$5:$C$2500=Index!$C$2,ROW())</f>
        <v>206</v>
      </c>
    </row>
    <row r="207" spans="4:4" x14ac:dyDescent="0.25">
      <c r="D207">
        <f>IF(CANCIONES!$C$5:$C$2500=Index!$C$2,ROW())</f>
        <v>207</v>
      </c>
    </row>
    <row r="208" spans="4:4" x14ac:dyDescent="0.25">
      <c r="D208">
        <f>IF(CANCIONES!$C$5:$C$2500=Index!$C$2,ROW())</f>
        <v>208</v>
      </c>
    </row>
    <row r="209" spans="4:4" x14ac:dyDescent="0.25">
      <c r="D209">
        <f>IF(CANCIONES!$C$5:$C$2500=Index!$C$2,ROW())</f>
        <v>209</v>
      </c>
    </row>
    <row r="210" spans="4:4" x14ac:dyDescent="0.25">
      <c r="D210">
        <f>IF(CANCIONES!$C$5:$C$2500=Index!$C$2,ROW())</f>
        <v>210</v>
      </c>
    </row>
    <row r="211" spans="4:4" x14ac:dyDescent="0.25">
      <c r="D211">
        <f>IF(CANCIONES!$C$5:$C$2500=Index!$C$2,ROW())</f>
        <v>211</v>
      </c>
    </row>
    <row r="212" spans="4:4" x14ac:dyDescent="0.25">
      <c r="D212">
        <f>IF(CANCIONES!$C$5:$C$2500=Index!$C$2,ROW())</f>
        <v>212</v>
      </c>
    </row>
    <row r="213" spans="4:4" x14ac:dyDescent="0.25">
      <c r="D213">
        <f>IF(CANCIONES!$C$5:$C$2500=Index!$C$2,ROW())</f>
        <v>213</v>
      </c>
    </row>
    <row r="214" spans="4:4" x14ac:dyDescent="0.25">
      <c r="D214">
        <f>IF(CANCIONES!$C$5:$C$2500=Index!$C$2,ROW())</f>
        <v>214</v>
      </c>
    </row>
    <row r="215" spans="4:4" x14ac:dyDescent="0.25">
      <c r="D215">
        <f>IF(CANCIONES!$C$5:$C$2500=Index!$C$2,ROW())</f>
        <v>215</v>
      </c>
    </row>
    <row r="216" spans="4:4" x14ac:dyDescent="0.25">
      <c r="D216">
        <f>IF(CANCIONES!$C$5:$C$2500=Index!$C$2,ROW())</f>
        <v>216</v>
      </c>
    </row>
    <row r="217" spans="4:4" x14ac:dyDescent="0.25">
      <c r="D217">
        <f>IF(CANCIONES!$C$5:$C$2500=Index!$C$2,ROW())</f>
        <v>217</v>
      </c>
    </row>
    <row r="218" spans="4:4" x14ac:dyDescent="0.25">
      <c r="D218">
        <f>IF(CANCIONES!$C$5:$C$2500=Index!$C$2,ROW())</f>
        <v>218</v>
      </c>
    </row>
    <row r="219" spans="4:4" x14ac:dyDescent="0.25">
      <c r="D219">
        <f>IF(CANCIONES!$C$5:$C$2500=Index!$C$2,ROW())</f>
        <v>219</v>
      </c>
    </row>
    <row r="220" spans="4:4" x14ac:dyDescent="0.25">
      <c r="D220">
        <f>IF(CANCIONES!$C$5:$C$2500=Index!$C$2,ROW())</f>
        <v>220</v>
      </c>
    </row>
    <row r="221" spans="4:4" x14ac:dyDescent="0.25">
      <c r="D221">
        <f>IF(CANCIONES!$C$5:$C$2500=Index!$C$2,ROW())</f>
        <v>221</v>
      </c>
    </row>
    <row r="222" spans="4:4" x14ac:dyDescent="0.25">
      <c r="D222">
        <f>IF(CANCIONES!$C$5:$C$2500=Index!$C$2,ROW())</f>
        <v>222</v>
      </c>
    </row>
    <row r="223" spans="4:4" x14ac:dyDescent="0.25">
      <c r="D223">
        <f>IF(CANCIONES!$C$5:$C$2500=Index!$C$2,ROW())</f>
        <v>223</v>
      </c>
    </row>
    <row r="224" spans="4:4" x14ac:dyDescent="0.25">
      <c r="D224">
        <f>IF(CANCIONES!$C$5:$C$2500=Index!$C$2,ROW())</f>
        <v>224</v>
      </c>
    </row>
    <row r="225" spans="4:4" x14ac:dyDescent="0.25">
      <c r="D225">
        <f>IF(CANCIONES!$C$5:$C$2500=Index!$C$2,ROW())</f>
        <v>225</v>
      </c>
    </row>
    <row r="226" spans="4:4" x14ac:dyDescent="0.25">
      <c r="D226">
        <f>IF(CANCIONES!$C$5:$C$2500=Index!$C$2,ROW())</f>
        <v>226</v>
      </c>
    </row>
    <row r="227" spans="4:4" x14ac:dyDescent="0.25">
      <c r="D227">
        <f>IF(CANCIONES!$C$5:$C$2500=Index!$C$2,ROW())</f>
        <v>227</v>
      </c>
    </row>
    <row r="228" spans="4:4" x14ac:dyDescent="0.25">
      <c r="D228">
        <f>IF(CANCIONES!$C$5:$C$2500=Index!$C$2,ROW())</f>
        <v>228</v>
      </c>
    </row>
    <row r="229" spans="4:4" x14ac:dyDescent="0.25">
      <c r="D229">
        <f>IF(CANCIONES!$C$5:$C$2500=Index!$C$2,ROW())</f>
        <v>229</v>
      </c>
    </row>
    <row r="230" spans="4:4" x14ac:dyDescent="0.25">
      <c r="D230">
        <f>IF(CANCIONES!$C$5:$C$2500=Index!$C$2,ROW())</f>
        <v>230</v>
      </c>
    </row>
    <row r="231" spans="4:4" x14ac:dyDescent="0.25">
      <c r="D231">
        <f>IF(CANCIONES!$C$5:$C$2500=Index!$C$2,ROW())</f>
        <v>231</v>
      </c>
    </row>
    <row r="232" spans="4:4" x14ac:dyDescent="0.25">
      <c r="D232">
        <f>IF(CANCIONES!$C$5:$C$2500=Index!$C$2,ROW())</f>
        <v>232</v>
      </c>
    </row>
    <row r="233" spans="4:4" x14ac:dyDescent="0.25">
      <c r="D233">
        <f>IF(CANCIONES!$C$5:$C$2500=Index!$C$2,ROW())</f>
        <v>233</v>
      </c>
    </row>
    <row r="234" spans="4:4" x14ac:dyDescent="0.25">
      <c r="D234">
        <f>IF(CANCIONES!$C$5:$C$2500=Index!$C$2,ROW())</f>
        <v>234</v>
      </c>
    </row>
    <row r="235" spans="4:4" x14ac:dyDescent="0.25">
      <c r="D235">
        <f>IF(CANCIONES!$C$5:$C$2500=Index!$C$2,ROW())</f>
        <v>235</v>
      </c>
    </row>
    <row r="236" spans="4:4" x14ac:dyDescent="0.25">
      <c r="D236">
        <f>IF(CANCIONES!$C$5:$C$2500=Index!$C$2,ROW())</f>
        <v>236</v>
      </c>
    </row>
    <row r="237" spans="4:4" x14ac:dyDescent="0.25">
      <c r="D237">
        <f>IF(CANCIONES!$C$5:$C$2500=Index!$C$2,ROW())</f>
        <v>237</v>
      </c>
    </row>
    <row r="238" spans="4:4" x14ac:dyDescent="0.25">
      <c r="D238">
        <f>IF(CANCIONES!$C$5:$C$2500=Index!$C$2,ROW())</f>
        <v>238</v>
      </c>
    </row>
    <row r="239" spans="4:4" x14ac:dyDescent="0.25">
      <c r="D239">
        <f>IF(CANCIONES!$C$5:$C$2500=Index!$C$2,ROW())</f>
        <v>239</v>
      </c>
    </row>
    <row r="240" spans="4:4" x14ac:dyDescent="0.25">
      <c r="D240">
        <f>IF(CANCIONES!$C$5:$C$2500=Index!$C$2,ROW())</f>
        <v>240</v>
      </c>
    </row>
    <row r="241" spans="4:4" x14ac:dyDescent="0.25">
      <c r="D241">
        <f>IF(CANCIONES!$C$5:$C$2500=Index!$C$2,ROW())</f>
        <v>241</v>
      </c>
    </row>
    <row r="242" spans="4:4" x14ac:dyDescent="0.25">
      <c r="D242">
        <f>IF(CANCIONES!$C$5:$C$2500=Index!$C$2,ROW())</f>
        <v>242</v>
      </c>
    </row>
    <row r="243" spans="4:4" x14ac:dyDescent="0.25">
      <c r="D243">
        <f>IF(CANCIONES!$C$5:$C$2500=Index!$C$2,ROW())</f>
        <v>243</v>
      </c>
    </row>
    <row r="244" spans="4:4" x14ac:dyDescent="0.25">
      <c r="D244">
        <f>IF(CANCIONES!$C$5:$C$2500=Index!$C$2,ROW())</f>
        <v>244</v>
      </c>
    </row>
    <row r="245" spans="4:4" x14ac:dyDescent="0.25">
      <c r="D245">
        <f>IF(CANCIONES!$C$5:$C$2500=Index!$C$2,ROW())</f>
        <v>245</v>
      </c>
    </row>
    <row r="246" spans="4:4" x14ac:dyDescent="0.25">
      <c r="D246">
        <f>IF(CANCIONES!$C$5:$C$2500=Index!$C$2,ROW())</f>
        <v>246</v>
      </c>
    </row>
    <row r="247" spans="4:4" x14ac:dyDescent="0.25">
      <c r="D247">
        <f>IF(CANCIONES!$C$5:$C$2500=Index!$C$2,ROW())</f>
        <v>247</v>
      </c>
    </row>
    <row r="248" spans="4:4" x14ac:dyDescent="0.25">
      <c r="D248">
        <f>IF(CANCIONES!$C$5:$C$2500=Index!$C$2,ROW())</f>
        <v>248</v>
      </c>
    </row>
    <row r="249" spans="4:4" x14ac:dyDescent="0.25">
      <c r="D249">
        <f>IF(CANCIONES!$C$5:$C$2500=Index!$C$2,ROW())</f>
        <v>249</v>
      </c>
    </row>
    <row r="250" spans="4:4" x14ac:dyDescent="0.25">
      <c r="D250">
        <f>IF(CANCIONES!$C$5:$C$2500=Index!$C$2,ROW())</f>
        <v>250</v>
      </c>
    </row>
    <row r="251" spans="4:4" x14ac:dyDescent="0.25">
      <c r="D251">
        <f>IF(CANCIONES!$C$5:$C$2500=Index!$C$2,ROW())</f>
        <v>251</v>
      </c>
    </row>
    <row r="252" spans="4:4" x14ac:dyDescent="0.25">
      <c r="D252">
        <f>IF(CANCIONES!$C$5:$C$2500=Index!$C$2,ROW())</f>
        <v>252</v>
      </c>
    </row>
    <row r="253" spans="4:4" x14ac:dyDescent="0.25">
      <c r="D253">
        <f>IF(CANCIONES!$C$5:$C$2500=Index!$C$2,ROW())</f>
        <v>253</v>
      </c>
    </row>
    <row r="254" spans="4:4" x14ac:dyDescent="0.25">
      <c r="D254">
        <f>IF(CANCIONES!$C$5:$C$2500=Index!$C$2,ROW())</f>
        <v>254</v>
      </c>
    </row>
    <row r="255" spans="4:4" x14ac:dyDescent="0.25">
      <c r="D255">
        <f>IF(CANCIONES!$C$5:$C$2500=Index!$C$2,ROW())</f>
        <v>255</v>
      </c>
    </row>
    <row r="256" spans="4:4" x14ac:dyDescent="0.25">
      <c r="D256">
        <f>IF(CANCIONES!$C$5:$C$2500=Index!$C$2,ROW())</f>
        <v>256</v>
      </c>
    </row>
    <row r="257" spans="4:4" x14ac:dyDescent="0.25">
      <c r="D257">
        <f>IF(CANCIONES!$C$5:$C$2500=Index!$C$2,ROW())</f>
        <v>257</v>
      </c>
    </row>
    <row r="258" spans="4:4" x14ac:dyDescent="0.25">
      <c r="D258">
        <f>IF(CANCIONES!$C$5:$C$2500=Index!$C$2,ROW())</f>
        <v>258</v>
      </c>
    </row>
    <row r="259" spans="4:4" x14ac:dyDescent="0.25">
      <c r="D259">
        <f>IF(CANCIONES!$C$5:$C$2500=Index!$C$2,ROW())</f>
        <v>259</v>
      </c>
    </row>
    <row r="260" spans="4:4" x14ac:dyDescent="0.25">
      <c r="D260">
        <f>IF(CANCIONES!$C$5:$C$2500=Index!$C$2,ROW())</f>
        <v>260</v>
      </c>
    </row>
    <row r="261" spans="4:4" x14ac:dyDescent="0.25">
      <c r="D261">
        <f>IF(CANCIONES!$C$5:$C$2500=Index!$C$2,ROW())</f>
        <v>261</v>
      </c>
    </row>
    <row r="262" spans="4:4" x14ac:dyDescent="0.25">
      <c r="D262">
        <f>IF(CANCIONES!$C$5:$C$2500=Index!$C$2,ROW())</f>
        <v>262</v>
      </c>
    </row>
    <row r="263" spans="4:4" x14ac:dyDescent="0.25">
      <c r="D263">
        <f>IF(CANCIONES!$C$5:$C$2500=Index!$C$2,ROW())</f>
        <v>263</v>
      </c>
    </row>
    <row r="264" spans="4:4" x14ac:dyDescent="0.25">
      <c r="D264">
        <f>IF(CANCIONES!$C$5:$C$2500=Index!$C$2,ROW())</f>
        <v>264</v>
      </c>
    </row>
    <row r="265" spans="4:4" x14ac:dyDescent="0.25">
      <c r="D265">
        <f>IF(CANCIONES!$C$5:$C$2500=Index!$C$2,ROW())</f>
        <v>265</v>
      </c>
    </row>
    <row r="266" spans="4:4" x14ac:dyDescent="0.25">
      <c r="D266">
        <f>IF(CANCIONES!$C$5:$C$2500=Index!$C$2,ROW())</f>
        <v>266</v>
      </c>
    </row>
    <row r="267" spans="4:4" x14ac:dyDescent="0.25">
      <c r="D267">
        <f>IF(CANCIONES!$C$5:$C$2500=Index!$C$2,ROW())</f>
        <v>267</v>
      </c>
    </row>
    <row r="268" spans="4:4" x14ac:dyDescent="0.25">
      <c r="D268">
        <f>IF(CANCIONES!$C$5:$C$2500=Index!$C$2,ROW())</f>
        <v>268</v>
      </c>
    </row>
    <row r="269" spans="4:4" x14ac:dyDescent="0.25">
      <c r="D269">
        <f>IF(CANCIONES!$C$5:$C$2500=Index!$C$2,ROW())</f>
        <v>269</v>
      </c>
    </row>
    <row r="270" spans="4:4" x14ac:dyDescent="0.25">
      <c r="D270">
        <f>IF(CANCIONES!$C$5:$C$2500=Index!$C$2,ROW())</f>
        <v>270</v>
      </c>
    </row>
    <row r="271" spans="4:4" x14ac:dyDescent="0.25">
      <c r="D271">
        <f>IF(CANCIONES!$C$5:$C$2500=Index!$C$2,ROW())</f>
        <v>271</v>
      </c>
    </row>
    <row r="272" spans="4:4" x14ac:dyDescent="0.25">
      <c r="D272">
        <f>IF(CANCIONES!$C$5:$C$2500=Index!$C$2,ROW())</f>
        <v>272</v>
      </c>
    </row>
    <row r="273" spans="4:4" x14ac:dyDescent="0.25">
      <c r="D273">
        <f>IF(CANCIONES!$C$5:$C$2500=Index!$C$2,ROW())</f>
        <v>273</v>
      </c>
    </row>
    <row r="274" spans="4:4" x14ac:dyDescent="0.25">
      <c r="D274">
        <f>IF(CANCIONES!$C$5:$C$2500=Index!$C$2,ROW())</f>
        <v>274</v>
      </c>
    </row>
    <row r="275" spans="4:4" x14ac:dyDescent="0.25">
      <c r="D275">
        <f>IF(CANCIONES!$C$5:$C$2500=Index!$C$2,ROW())</f>
        <v>275</v>
      </c>
    </row>
    <row r="276" spans="4:4" x14ac:dyDescent="0.25">
      <c r="D276">
        <f>IF(CANCIONES!$C$5:$C$2500=Index!$C$2,ROW())</f>
        <v>276</v>
      </c>
    </row>
    <row r="277" spans="4:4" x14ac:dyDescent="0.25">
      <c r="D277">
        <f>IF(CANCIONES!$C$5:$C$2500=Index!$C$2,ROW())</f>
        <v>277</v>
      </c>
    </row>
    <row r="278" spans="4:4" x14ac:dyDescent="0.25">
      <c r="D278">
        <f>IF(CANCIONES!$C$5:$C$2500=Index!$C$2,ROW())</f>
        <v>278</v>
      </c>
    </row>
    <row r="279" spans="4:4" x14ac:dyDescent="0.25">
      <c r="D279">
        <f>IF(CANCIONES!$C$5:$C$2500=Index!$C$2,ROW())</f>
        <v>279</v>
      </c>
    </row>
    <row r="280" spans="4:4" x14ac:dyDescent="0.25">
      <c r="D280">
        <f>IF(CANCIONES!$C$5:$C$2500=Index!$C$2,ROW())</f>
        <v>280</v>
      </c>
    </row>
    <row r="281" spans="4:4" x14ac:dyDescent="0.25">
      <c r="D281">
        <f>IF(CANCIONES!$C$5:$C$2500=Index!$C$2,ROW())</f>
        <v>281</v>
      </c>
    </row>
    <row r="282" spans="4:4" x14ac:dyDescent="0.25">
      <c r="D282">
        <f>IF(CANCIONES!$C$5:$C$2500=Index!$C$2,ROW())</f>
        <v>282</v>
      </c>
    </row>
    <row r="283" spans="4:4" x14ac:dyDescent="0.25">
      <c r="D283">
        <f>IF(CANCIONES!$C$5:$C$2500=Index!$C$2,ROW())</f>
        <v>283</v>
      </c>
    </row>
    <row r="284" spans="4:4" x14ac:dyDescent="0.25">
      <c r="D284">
        <f>IF(CANCIONES!$C$5:$C$2500=Index!$C$2,ROW())</f>
        <v>284</v>
      </c>
    </row>
    <row r="285" spans="4:4" x14ac:dyDescent="0.25">
      <c r="D285">
        <f>IF(CANCIONES!$C$5:$C$2500=Index!$C$2,ROW())</f>
        <v>285</v>
      </c>
    </row>
    <row r="286" spans="4:4" x14ac:dyDescent="0.25">
      <c r="D286">
        <f>IF(CANCIONES!$C$5:$C$2500=Index!$C$2,ROW())</f>
        <v>286</v>
      </c>
    </row>
    <row r="287" spans="4:4" x14ac:dyDescent="0.25">
      <c r="D287">
        <f>IF(CANCIONES!$C$5:$C$2500=Index!$C$2,ROW())</f>
        <v>287</v>
      </c>
    </row>
    <row r="288" spans="4:4" x14ac:dyDescent="0.25">
      <c r="D288">
        <f>IF(CANCIONES!$C$5:$C$2500=Index!$C$2,ROW())</f>
        <v>288</v>
      </c>
    </row>
    <row r="289" spans="4:4" x14ac:dyDescent="0.25">
      <c r="D289">
        <f>IF(CANCIONES!$C$5:$C$2500=Index!$C$2,ROW())</f>
        <v>289</v>
      </c>
    </row>
    <row r="290" spans="4:4" x14ac:dyDescent="0.25">
      <c r="D290">
        <f>IF(CANCIONES!$C$5:$C$2500=Index!$C$2,ROW())</f>
        <v>290</v>
      </c>
    </row>
    <row r="291" spans="4:4" x14ac:dyDescent="0.25">
      <c r="D291">
        <f>IF(CANCIONES!$C$5:$C$2500=Index!$C$2,ROW())</f>
        <v>291</v>
      </c>
    </row>
    <row r="292" spans="4:4" x14ac:dyDescent="0.25">
      <c r="D292">
        <f>IF(CANCIONES!$C$5:$C$2500=Index!$C$2,ROW())</f>
        <v>292</v>
      </c>
    </row>
    <row r="293" spans="4:4" x14ac:dyDescent="0.25">
      <c r="D293">
        <f>IF(CANCIONES!$C$5:$C$2500=Index!$C$2,ROW())</f>
        <v>293</v>
      </c>
    </row>
    <row r="294" spans="4:4" x14ac:dyDescent="0.25">
      <c r="D294">
        <f>IF(CANCIONES!$C$5:$C$2500=Index!$C$2,ROW())</f>
        <v>294</v>
      </c>
    </row>
    <row r="295" spans="4:4" x14ac:dyDescent="0.25">
      <c r="D295">
        <f>IF(CANCIONES!$C$5:$C$2500=Index!$C$2,ROW())</f>
        <v>295</v>
      </c>
    </row>
    <row r="296" spans="4:4" x14ac:dyDescent="0.25">
      <c r="D296">
        <f>IF(CANCIONES!$C$5:$C$2500=Index!$C$2,ROW())</f>
        <v>296</v>
      </c>
    </row>
    <row r="297" spans="4:4" x14ac:dyDescent="0.25">
      <c r="D297">
        <f>IF(CANCIONES!$C$5:$C$2500=Index!$C$2,ROW())</f>
        <v>297</v>
      </c>
    </row>
    <row r="298" spans="4:4" x14ac:dyDescent="0.25">
      <c r="D298">
        <f>IF(CANCIONES!$C$5:$C$2500=Index!$C$2,ROW())</f>
        <v>298</v>
      </c>
    </row>
    <row r="299" spans="4:4" x14ac:dyDescent="0.25">
      <c r="D299">
        <f>IF(CANCIONES!$C$5:$C$2500=Index!$C$2,ROW())</f>
        <v>299</v>
      </c>
    </row>
    <row r="300" spans="4:4" x14ac:dyDescent="0.25">
      <c r="D300">
        <f>IF(CANCIONES!$C$5:$C$2500=Index!$C$2,ROW())</f>
        <v>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>
    <tabColor theme="2" tint="-0.499984740745262"/>
  </sheetPr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IMPRIMIR</vt:lpstr>
      <vt:lpstr>Tabla de la cancion</vt:lpstr>
      <vt:lpstr>CANCIONES</vt:lpstr>
      <vt:lpstr>OPERACIONES DE FORMULAS</vt:lpstr>
      <vt:lpstr>Formula de busqueda (EJEMPLO)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cp:lastPrinted>2020-04-29T15:48:24Z</cp:lastPrinted>
  <dcterms:created xsi:type="dcterms:W3CDTF">2015-06-05T18:17:20Z</dcterms:created>
  <dcterms:modified xsi:type="dcterms:W3CDTF">2020-04-30T18:19:25Z</dcterms:modified>
</cp:coreProperties>
</file>