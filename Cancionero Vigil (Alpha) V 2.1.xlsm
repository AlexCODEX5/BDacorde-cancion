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805E29A5-8E52-4AF3-818F-0BF666282F2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IMPRIMIR" sheetId="6" r:id="rId2"/>
    <sheet name="CANCIONES" sheetId="2" r:id="rId3"/>
    <sheet name="Tabla de la cancion" sheetId="3" r:id="rId4"/>
    <sheet name="OPERACIONES DE FORMULAS" sheetId="5" r:id="rId5"/>
    <sheet name="Formula de busqueda (EJEMPLO)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6" l="1"/>
  <c r="F1048574" i="6" l="1"/>
  <c r="F1048573" i="6" s="1"/>
  <c r="H10" i="3" l="1"/>
  <c r="H11" i="3"/>
  <c r="H12" i="3"/>
  <c r="H13" i="3"/>
  <c r="H14" i="3"/>
  <c r="H15" i="3"/>
  <c r="H16" i="3"/>
  <c r="H17" i="3"/>
  <c r="H18" i="3"/>
  <c r="H19" i="3"/>
  <c r="H20" i="3"/>
  <c r="H21" i="3"/>
  <c r="H22" i="3"/>
  <c r="H3" i="3" l="1"/>
  <c r="H4" i="3"/>
  <c r="H5" i="3"/>
  <c r="H6" i="3"/>
  <c r="H7" i="3"/>
  <c r="H8" i="3"/>
  <c r="H9" i="3"/>
  <c r="H2" i="3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B7" i="3"/>
  <c r="D6" i="3"/>
  <c r="F5" i="3"/>
  <c r="B5" i="3"/>
  <c r="D4" i="3"/>
  <c r="F3" i="3"/>
  <c r="A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A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7" i="3" l="1"/>
  <c r="A4" i="3"/>
  <c r="A8" i="3"/>
  <c r="A14" i="3"/>
  <c r="A12" i="3"/>
  <c r="A10" i="3"/>
  <c r="A5" i="3"/>
  <c r="A9" i="3"/>
  <c r="A15" i="3"/>
  <c r="A13" i="3"/>
  <c r="A11" i="3"/>
  <c r="A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F4" i="1" l="1"/>
  <c r="B6" i="1"/>
  <c r="B4" i="6" s="1"/>
  <c r="D6" i="1"/>
  <c r="F6" i="1"/>
  <c r="C7" i="1"/>
  <c r="E7" i="1"/>
  <c r="B8" i="1"/>
  <c r="B6" i="6" s="1"/>
  <c r="D8" i="1"/>
  <c r="F8" i="1"/>
  <c r="C9" i="1"/>
  <c r="E9" i="1"/>
  <c r="B10" i="1"/>
  <c r="B8" i="6" s="1"/>
  <c r="D10" i="1"/>
  <c r="F10" i="1"/>
  <c r="C11" i="1"/>
  <c r="E11" i="1"/>
  <c r="B12" i="1"/>
  <c r="B10" i="6" s="1"/>
  <c r="C10" i="6" s="1"/>
  <c r="D10" i="6" s="1"/>
  <c r="E10" i="6" s="1"/>
  <c r="F10" i="6" s="1"/>
  <c r="D12" i="1"/>
  <c r="F12" i="1"/>
  <c r="C13" i="1"/>
  <c r="E13" i="1"/>
  <c r="B14" i="1"/>
  <c r="B12" i="6" s="1"/>
  <c r="C12" i="6" s="1"/>
  <c r="D12" i="6" s="1"/>
  <c r="E12" i="6" s="1"/>
  <c r="F12" i="6" s="1"/>
  <c r="D14" i="1"/>
  <c r="F14" i="1"/>
  <c r="C15" i="1"/>
  <c r="E15" i="1"/>
  <c r="B16" i="1"/>
  <c r="B14" i="6" s="1"/>
  <c r="C14" i="6" s="1"/>
  <c r="D14" i="6" s="1"/>
  <c r="E14" i="6" s="1"/>
  <c r="F14" i="6" s="1"/>
  <c r="D16" i="1"/>
  <c r="F16" i="1"/>
  <c r="C17" i="1"/>
  <c r="E17" i="1"/>
  <c r="B18" i="1"/>
  <c r="B16" i="6" s="1"/>
  <c r="C16" i="6" s="1"/>
  <c r="D16" i="6" s="1"/>
  <c r="E16" i="6" s="1"/>
  <c r="F16" i="6" s="1"/>
  <c r="D18" i="1"/>
  <c r="F18" i="1"/>
  <c r="C19" i="1"/>
  <c r="E19" i="1"/>
  <c r="B20" i="1"/>
  <c r="B18" i="6" s="1"/>
  <c r="C18" i="6" s="1"/>
  <c r="D18" i="6" s="1"/>
  <c r="E18" i="6" s="1"/>
  <c r="F18" i="6" s="1"/>
  <c r="D20" i="1"/>
  <c r="F20" i="1"/>
  <c r="C21" i="1"/>
  <c r="E21" i="1"/>
  <c r="B22" i="1"/>
  <c r="D22" i="1"/>
  <c r="F22" i="1"/>
  <c r="C23" i="1"/>
  <c r="E23" i="1"/>
  <c r="B24" i="1"/>
  <c r="D24" i="1"/>
  <c r="F24" i="1"/>
  <c r="C25" i="1"/>
  <c r="E25" i="1"/>
  <c r="B26" i="1"/>
  <c r="D26" i="1"/>
  <c r="F26" i="1"/>
  <c r="C27" i="1"/>
  <c r="E27" i="1"/>
  <c r="B28" i="1"/>
  <c r="D28" i="1"/>
  <c r="F28" i="1"/>
  <c r="C29" i="1"/>
  <c r="E29" i="1"/>
  <c r="B30" i="1"/>
  <c r="D30" i="1"/>
  <c r="F30" i="1"/>
  <c r="C31" i="1"/>
  <c r="E31" i="1"/>
  <c r="B32" i="1"/>
  <c r="D32" i="1"/>
  <c r="F32" i="1"/>
  <c r="C33" i="1"/>
  <c r="E33" i="1"/>
  <c r="B34" i="1"/>
  <c r="D34" i="1"/>
  <c r="F34" i="1"/>
  <c r="C35" i="1"/>
  <c r="E35" i="1"/>
  <c r="B36" i="1"/>
  <c r="D36" i="1"/>
  <c r="F36" i="1"/>
  <c r="C37" i="1"/>
  <c r="E37" i="1"/>
  <c r="B38" i="1"/>
  <c r="D38" i="1"/>
  <c r="F38" i="1"/>
  <c r="C39" i="1"/>
  <c r="E39" i="1"/>
  <c r="C6" i="1"/>
  <c r="B7" i="1"/>
  <c r="B5" i="6" s="1"/>
  <c r="F7" i="1"/>
  <c r="E8" i="1"/>
  <c r="D9" i="1"/>
  <c r="C10" i="1"/>
  <c r="B11" i="1"/>
  <c r="B9" i="6" s="1"/>
  <c r="F11" i="1"/>
  <c r="E12" i="1"/>
  <c r="D13" i="1"/>
  <c r="C14" i="1"/>
  <c r="B15" i="1"/>
  <c r="B13" i="6" s="1"/>
  <c r="C13" i="6" s="1"/>
  <c r="D13" i="6" s="1"/>
  <c r="E13" i="6" s="1"/>
  <c r="F13" i="6" s="1"/>
  <c r="F15" i="1"/>
  <c r="E16" i="1"/>
  <c r="D17" i="1"/>
  <c r="C18" i="1"/>
  <c r="B19" i="1"/>
  <c r="B17" i="6" s="1"/>
  <c r="C17" i="6" s="1"/>
  <c r="D17" i="6" s="1"/>
  <c r="E17" i="6" s="1"/>
  <c r="F17" i="6" s="1"/>
  <c r="F19" i="1"/>
  <c r="E20" i="1"/>
  <c r="D21" i="1"/>
  <c r="C22" i="1"/>
  <c r="B23" i="1"/>
  <c r="F23" i="1"/>
  <c r="E24" i="1"/>
  <c r="D25" i="1"/>
  <c r="C26" i="1"/>
  <c r="B27" i="1"/>
  <c r="F27" i="1"/>
  <c r="E28" i="1"/>
  <c r="D29" i="1"/>
  <c r="C30" i="1"/>
  <c r="B31" i="1"/>
  <c r="F31" i="1"/>
  <c r="E32" i="1"/>
  <c r="D33" i="1"/>
  <c r="C34" i="1"/>
  <c r="B35" i="1"/>
  <c r="F35" i="1"/>
  <c r="E36" i="1"/>
  <c r="D37" i="1"/>
  <c r="C38" i="1"/>
  <c r="B39" i="1"/>
  <c r="F39" i="1"/>
  <c r="C40" i="1"/>
  <c r="E40" i="1"/>
  <c r="B41" i="1"/>
  <c r="D41" i="1"/>
  <c r="F41" i="1"/>
  <c r="C42" i="1"/>
  <c r="E42" i="1"/>
  <c r="B43" i="1"/>
  <c r="D43" i="1"/>
  <c r="F43" i="1"/>
  <c r="C44" i="1"/>
  <c r="E44" i="1"/>
  <c r="B45" i="1"/>
  <c r="D45" i="1"/>
  <c r="F45" i="1"/>
  <c r="C46" i="1"/>
  <c r="E46" i="1"/>
  <c r="B47" i="1"/>
  <c r="D47" i="1"/>
  <c r="F47" i="1"/>
  <c r="C48" i="1"/>
  <c r="E48" i="1"/>
  <c r="B49" i="1"/>
  <c r="D49" i="1"/>
  <c r="F49" i="1"/>
  <c r="C50" i="1"/>
  <c r="E50" i="1"/>
  <c r="B51" i="1"/>
  <c r="D51" i="1"/>
  <c r="F51" i="1"/>
  <c r="C52" i="1"/>
  <c r="E52" i="1"/>
  <c r="B53" i="1"/>
  <c r="D53" i="1"/>
  <c r="F53" i="1"/>
  <c r="C54" i="1"/>
  <c r="E54" i="1"/>
  <c r="B55" i="1"/>
  <c r="D55" i="1"/>
  <c r="F55" i="1"/>
  <c r="C56" i="1"/>
  <c r="E56" i="1"/>
  <c r="B57" i="1"/>
  <c r="D57" i="1"/>
  <c r="F57" i="1"/>
  <c r="C58" i="1"/>
  <c r="E58" i="1"/>
  <c r="B59" i="1"/>
  <c r="D59" i="1"/>
  <c r="F59" i="1"/>
  <c r="C60" i="1"/>
  <c r="E60" i="1"/>
  <c r="B61" i="1"/>
  <c r="D61" i="1"/>
  <c r="F61" i="1"/>
  <c r="C62" i="1"/>
  <c r="E62" i="1"/>
  <c r="B63" i="1"/>
  <c r="D63" i="1"/>
  <c r="F63" i="1"/>
  <c r="C64" i="1"/>
  <c r="E64" i="1"/>
  <c r="B65" i="1"/>
  <c r="D65" i="1"/>
  <c r="F65" i="1"/>
  <c r="C66" i="1"/>
  <c r="E66" i="1"/>
  <c r="B67" i="1"/>
  <c r="D67" i="1"/>
  <c r="F67" i="1"/>
  <c r="C68" i="1"/>
  <c r="E68" i="1"/>
  <c r="B69" i="1"/>
  <c r="D69" i="1"/>
  <c r="F69" i="1"/>
  <c r="C70" i="1"/>
  <c r="E70" i="1"/>
  <c r="B71" i="1"/>
  <c r="D71" i="1"/>
  <c r="F71" i="1"/>
  <c r="C72" i="1"/>
  <c r="E72" i="1"/>
  <c r="B73" i="1"/>
  <c r="D73" i="1"/>
  <c r="F73" i="1"/>
  <c r="C74" i="1"/>
  <c r="E74" i="1"/>
  <c r="B75" i="1"/>
  <c r="D75" i="1"/>
  <c r="F75" i="1"/>
  <c r="C76" i="1"/>
  <c r="E76" i="1"/>
  <c r="B77" i="1"/>
  <c r="D77" i="1"/>
  <c r="F77" i="1"/>
  <c r="C78" i="1"/>
  <c r="E78" i="1"/>
  <c r="B79" i="1"/>
  <c r="D79" i="1"/>
  <c r="F79" i="1"/>
  <c r="C80" i="1"/>
  <c r="E80" i="1"/>
  <c r="B81" i="1"/>
  <c r="D81" i="1"/>
  <c r="F81" i="1"/>
  <c r="C82" i="1"/>
  <c r="E82" i="1"/>
  <c r="B83" i="1"/>
  <c r="D83" i="1"/>
  <c r="F83" i="1"/>
  <c r="C84" i="1"/>
  <c r="E84" i="1"/>
  <c r="B85" i="1"/>
  <c r="D85" i="1"/>
  <c r="F85" i="1"/>
  <c r="C86" i="1"/>
  <c r="E86" i="1"/>
  <c r="B87" i="1"/>
  <c r="D87" i="1"/>
  <c r="F87" i="1"/>
  <c r="C88" i="1"/>
  <c r="E88" i="1"/>
  <c r="B89" i="1"/>
  <c r="D89" i="1"/>
  <c r="F89" i="1"/>
  <c r="C90" i="1"/>
  <c r="E90" i="1"/>
  <c r="E6" i="1"/>
  <c r="C8" i="1"/>
  <c r="F9" i="1"/>
  <c r="D11" i="1"/>
  <c r="B13" i="1"/>
  <c r="B11" i="6" s="1"/>
  <c r="C11" i="6" s="1"/>
  <c r="D11" i="6" s="1"/>
  <c r="E11" i="6" s="1"/>
  <c r="F11" i="6" s="1"/>
  <c r="E14" i="1"/>
  <c r="C16" i="1"/>
  <c r="F17" i="1"/>
  <c r="D19" i="1"/>
  <c r="B21" i="1"/>
  <c r="E22" i="1"/>
  <c r="C24" i="1"/>
  <c r="F25" i="1"/>
  <c r="D27" i="1"/>
  <c r="B29" i="1"/>
  <c r="E30" i="1"/>
  <c r="C32" i="1"/>
  <c r="F33" i="1"/>
  <c r="D35" i="1"/>
  <c r="B37" i="1"/>
  <c r="E38" i="1"/>
  <c r="B40" i="1"/>
  <c r="F40" i="1"/>
  <c r="E41" i="1"/>
  <c r="D42" i="1"/>
  <c r="C43" i="1"/>
  <c r="B44" i="1"/>
  <c r="F44" i="1"/>
  <c r="E45" i="1"/>
  <c r="D46" i="1"/>
  <c r="C47" i="1"/>
  <c r="B48" i="1"/>
  <c r="F48" i="1"/>
  <c r="E49" i="1"/>
  <c r="D50" i="1"/>
  <c r="C51" i="1"/>
  <c r="B52" i="1"/>
  <c r="F52" i="1"/>
  <c r="E53" i="1"/>
  <c r="D54" i="1"/>
  <c r="C55" i="1"/>
  <c r="B56" i="1"/>
  <c r="F56" i="1"/>
  <c r="E57" i="1"/>
  <c r="D58" i="1"/>
  <c r="C59" i="1"/>
  <c r="B60" i="1"/>
  <c r="F60" i="1"/>
  <c r="E61" i="1"/>
  <c r="D62" i="1"/>
  <c r="C63" i="1"/>
  <c r="B64" i="1"/>
  <c r="F64" i="1"/>
  <c r="E65" i="1"/>
  <c r="D66" i="1"/>
  <c r="C67" i="1"/>
  <c r="B68" i="1"/>
  <c r="F68" i="1"/>
  <c r="E69" i="1"/>
  <c r="D70" i="1"/>
  <c r="C71" i="1"/>
  <c r="B72" i="1"/>
  <c r="F72" i="1"/>
  <c r="E73" i="1"/>
  <c r="D74" i="1"/>
  <c r="C75" i="1"/>
  <c r="B76" i="1"/>
  <c r="F76" i="1"/>
  <c r="E77" i="1"/>
  <c r="D78" i="1"/>
  <c r="C79" i="1"/>
  <c r="B80" i="1"/>
  <c r="F80" i="1"/>
  <c r="E81" i="1"/>
  <c r="D82" i="1"/>
  <c r="C83" i="1"/>
  <c r="B84" i="1"/>
  <c r="F84" i="1"/>
  <c r="E85" i="1"/>
  <c r="D86" i="1"/>
  <c r="C87" i="1"/>
  <c r="B88" i="1"/>
  <c r="F88" i="1"/>
  <c r="E89" i="1"/>
  <c r="D90" i="1"/>
  <c r="B91" i="1"/>
  <c r="D91" i="1"/>
  <c r="F91" i="1"/>
  <c r="C92" i="1"/>
  <c r="E92" i="1"/>
  <c r="B93" i="1"/>
  <c r="D93" i="1"/>
  <c r="F93" i="1"/>
  <c r="C94" i="1"/>
  <c r="E94" i="1"/>
  <c r="B95" i="1"/>
  <c r="D95" i="1"/>
  <c r="F95" i="1"/>
  <c r="C96" i="1"/>
  <c r="E96" i="1"/>
  <c r="B97" i="1"/>
  <c r="D97" i="1"/>
  <c r="F97" i="1"/>
  <c r="C98" i="1"/>
  <c r="E98" i="1"/>
  <c r="B99" i="1"/>
  <c r="D99" i="1"/>
  <c r="F99" i="1"/>
  <c r="C100" i="1"/>
  <c r="E100" i="1"/>
  <c r="B101" i="1"/>
  <c r="D101" i="1"/>
  <c r="F101" i="1"/>
  <c r="C102" i="1"/>
  <c r="E102" i="1"/>
  <c r="B103" i="1"/>
  <c r="D103" i="1"/>
  <c r="F103" i="1"/>
  <c r="C104" i="1"/>
  <c r="E104" i="1"/>
  <c r="B105" i="1"/>
  <c r="D105" i="1"/>
  <c r="F105" i="1"/>
  <c r="C106" i="1"/>
  <c r="E106" i="1"/>
  <c r="B107" i="1"/>
  <c r="D107" i="1"/>
  <c r="F107" i="1"/>
  <c r="D7" i="1"/>
  <c r="B9" i="1"/>
  <c r="B7" i="6" s="1"/>
  <c r="E10" i="1"/>
  <c r="C12" i="1"/>
  <c r="F13" i="1"/>
  <c r="D15" i="1"/>
  <c r="B17" i="1"/>
  <c r="B15" i="6" s="1"/>
  <c r="C15" i="6" s="1"/>
  <c r="D15" i="6" s="1"/>
  <c r="E15" i="6" s="1"/>
  <c r="F15" i="6" s="1"/>
  <c r="E18" i="1"/>
  <c r="C20" i="1"/>
  <c r="F21" i="1"/>
  <c r="D23" i="1"/>
  <c r="B25" i="1"/>
  <c r="E26" i="1"/>
  <c r="C28" i="1"/>
  <c r="F29" i="1"/>
  <c r="D31" i="1"/>
  <c r="B33" i="1"/>
  <c r="E34" i="1"/>
  <c r="C36" i="1"/>
  <c r="F37" i="1"/>
  <c r="D39" i="1"/>
  <c r="D40" i="1"/>
  <c r="C41" i="1"/>
  <c r="B42" i="1"/>
  <c r="F42" i="1"/>
  <c r="E43" i="1"/>
  <c r="D44" i="1"/>
  <c r="C45" i="1"/>
  <c r="B46" i="1"/>
  <c r="F46" i="1"/>
  <c r="E47" i="1"/>
  <c r="D48" i="1"/>
  <c r="C49" i="1"/>
  <c r="B50" i="1"/>
  <c r="F50" i="1"/>
  <c r="E51" i="1"/>
  <c r="D52" i="1"/>
  <c r="C53" i="1"/>
  <c r="B54" i="1"/>
  <c r="F54" i="1"/>
  <c r="E55" i="1"/>
  <c r="D56" i="1"/>
  <c r="C57" i="1"/>
  <c r="B58" i="1"/>
  <c r="F58" i="1"/>
  <c r="E59" i="1"/>
  <c r="D60" i="1"/>
  <c r="C61" i="1"/>
  <c r="B62" i="1"/>
  <c r="F62" i="1"/>
  <c r="E63" i="1"/>
  <c r="D64" i="1"/>
  <c r="C65" i="1"/>
  <c r="B66" i="1"/>
  <c r="F66" i="1"/>
  <c r="E67" i="1"/>
  <c r="D68" i="1"/>
  <c r="C69" i="1"/>
  <c r="B70" i="1"/>
  <c r="F70" i="1"/>
  <c r="E71" i="1"/>
  <c r="D72" i="1"/>
  <c r="C73" i="1"/>
  <c r="B74" i="1"/>
  <c r="F74" i="1"/>
  <c r="E75" i="1"/>
  <c r="D76" i="1"/>
  <c r="C77" i="1"/>
  <c r="B78" i="1"/>
  <c r="F78" i="1"/>
  <c r="E79" i="1"/>
  <c r="D80" i="1"/>
  <c r="C81" i="1"/>
  <c r="B82" i="1"/>
  <c r="F82" i="1"/>
  <c r="E83" i="1"/>
  <c r="D84" i="1"/>
  <c r="C85" i="1"/>
  <c r="B86" i="1"/>
  <c r="F86" i="1"/>
  <c r="E87" i="1"/>
  <c r="D88" i="1"/>
  <c r="C89" i="1"/>
  <c r="B90" i="1"/>
  <c r="F90" i="1"/>
  <c r="C91" i="1"/>
  <c r="E91" i="1"/>
  <c r="B92" i="1"/>
  <c r="D92" i="1"/>
  <c r="F92" i="1"/>
  <c r="C93" i="1"/>
  <c r="E93" i="1"/>
  <c r="B94" i="1"/>
  <c r="D94" i="1"/>
  <c r="F94" i="1"/>
  <c r="C95" i="1"/>
  <c r="E95" i="1"/>
  <c r="B96" i="1"/>
  <c r="D96" i="1"/>
  <c r="F96" i="1"/>
  <c r="C97" i="1"/>
  <c r="E97" i="1"/>
  <c r="B98" i="1"/>
  <c r="D98" i="1"/>
  <c r="F98" i="1"/>
  <c r="C99" i="1"/>
  <c r="E99" i="1"/>
  <c r="B100" i="1"/>
  <c r="D100" i="1"/>
  <c r="F100" i="1"/>
  <c r="C101" i="1"/>
  <c r="E101" i="1"/>
  <c r="B102" i="1"/>
  <c r="D102" i="1"/>
  <c r="F102" i="1"/>
  <c r="C103" i="1"/>
  <c r="E103" i="1"/>
  <c r="B104" i="1"/>
  <c r="D104" i="1"/>
  <c r="F104" i="1"/>
  <c r="C105" i="1"/>
  <c r="E105" i="1"/>
  <c r="B106" i="1"/>
  <c r="D106" i="1"/>
  <c r="F106" i="1"/>
  <c r="C107" i="1"/>
  <c r="E107" i="1"/>
  <c r="F5" i="1"/>
  <c r="B5" i="1"/>
  <c r="B3" i="6" s="1"/>
  <c r="C5" i="1"/>
  <c r="E5" i="1"/>
  <c r="D5" i="1"/>
  <c r="C4" i="1"/>
  <c r="B1048575" i="6" s="1"/>
  <c r="E4" i="1"/>
  <c r="D4" i="1"/>
  <c r="B4" i="1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C7" i="6" l="1"/>
  <c r="D7" i="6" s="1"/>
  <c r="E7" i="6" s="1"/>
  <c r="F7" i="6" s="1"/>
  <c r="C5" i="6"/>
  <c r="D5" i="6" s="1"/>
  <c r="E5" i="6" s="1"/>
  <c r="F5" i="6" s="1"/>
  <c r="C4" i="6"/>
  <c r="C8" i="6"/>
  <c r="D8" i="6" s="1"/>
  <c r="E8" i="6" s="1"/>
  <c r="F8" i="6" s="1"/>
  <c r="D4" i="6"/>
  <c r="E4" i="6" s="1"/>
  <c r="F4" i="6" s="1"/>
  <c r="C3" i="6"/>
  <c r="D3" i="6" s="1"/>
  <c r="E3" i="6" s="1"/>
  <c r="F3" i="6" s="1"/>
  <c r="C9" i="6"/>
  <c r="D9" i="6" s="1"/>
  <c r="E9" i="6" s="1"/>
  <c r="F9" i="6" s="1"/>
  <c r="C6" i="6"/>
  <c r="D6" i="6" s="1"/>
  <c r="E6" i="6" s="1"/>
  <c r="F6" i="6" s="1"/>
  <c r="B2" i="6"/>
  <c r="C2" i="6" s="1"/>
  <c r="D2" i="6" s="1"/>
  <c r="E2" i="6" s="1"/>
  <c r="F2" i="6" s="1"/>
</calcChain>
</file>

<file path=xl/sharedStrings.xml><?xml version="1.0" encoding="utf-8"?>
<sst xmlns="http://schemas.openxmlformats.org/spreadsheetml/2006/main" count="130" uniqueCount="110">
  <si>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</si>
  <si>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</si>
  <si>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</si>
  <si>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</si>
  <si>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</si>
  <si>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</si>
  <si>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</si>
  <si>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</si>
  <si>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</si>
  <si>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</si>
  <si>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</si>
  <si>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</si>
  <si>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</si>
  <si>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</si>
  <si>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</si>
  <si>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</si>
  <si>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</si>
  <si>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</si>
  <si>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</si>
  <si>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</si>
  <si>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</si>
  <si>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</si>
  <si>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</si>
  <si>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</si>
  <si>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</si>
  <si>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</si>
  <si>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</si>
  <si>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</si>
  <si>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</si>
  <si>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</si>
  <si>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</si>
  <si>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</si>
  <si>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</si>
  <si>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</si>
  <si>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</si>
  <si>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</si>
  <si>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</si>
  <si>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</si>
  <si>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</si>
  <si>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</si>
  <si>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</si>
  <si>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</si>
  <si>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</si>
  <si>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</si>
  <si>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</si>
  <si>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</si>
  <si>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</si>
  <si>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</si>
  <si>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</si>
  <si>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</si>
  <si>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</si>
  <si>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</si>
  <si>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</si>
  <si>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</si>
  <si>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</si>
  <si>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</si>
  <si>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</si>
  <si>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</si>
  <si>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</si>
  <si>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</si>
  <si>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</si>
  <si>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</si>
  <si>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</si>
  <si>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</si>
  <si>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</si>
  <si>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</si>
  <si>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</si>
  <si>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</si>
  <si>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</si>
  <si>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</si>
  <si>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</si>
  <si>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</si>
  <si>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</si>
  <si>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</si>
  <si>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</si>
  <si>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</si>
  <si>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</si>
  <si>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</si>
  <si>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</si>
  <si>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</si>
  <si>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</si>
  <si>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</si>
  <si>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</si>
  <si>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</si>
  <si>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</si>
  <si>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</si>
  <si>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</si>
  <si>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</si>
  <si>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</si>
  <si>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</si>
  <si>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</si>
  <si>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</si>
  <si>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</si>
  <si>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</si>
  <si>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</si>
  <si>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</si>
  <si>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</si>
  <si>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</si>
  <si>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</si>
  <si>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</si>
  <si>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</si>
  <si>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</si>
  <si>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</si>
  <si>
    <t>Estrofa</t>
  </si>
  <si>
    <t>5 condicionales</t>
  </si>
  <si>
    <t xml:space="preserve">5 condicionales </t>
  </si>
  <si>
    <t>no hay texto</t>
  </si>
  <si>
    <t xml:space="preserve">comilla </t>
  </si>
  <si>
    <t>EJEMPLO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</si>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</sst>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3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4" xfId="0" applyFill="1" applyBorder="1"/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  <xf numFmtId="0" fontId="0" fillId="0" borderId="3" xfId="0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81FFCF"/>
      <color rgb="FF6AFF5F"/>
      <color rgb="FFCDFDFF"/>
      <color rgb="FFC6FFBD"/>
      <color rgb="FFFDFFBD"/>
      <color rgb="FFFFD6BD"/>
      <color rgb="FF9BFFD9"/>
      <color rgb="FFAFFFE1"/>
      <color rgb="FFC5FFE9"/>
      <color rgb="FFD5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F107"/>
  <sheetViews>
    <sheetView tabSelected="1" workbookViewId="0">
      <selection activeCell="B2" sqref="B2"/>
    </sheetView>
  </sheetViews>
  <sheetFormatPr baseColWidth="10" defaultColWidth="9.140625" defaultRowHeight="18.75" customHeight="1" x14ac:dyDescent="0.25"/>
  <cols>
    <col min="1" max="1" width="24.42578125" style="17" customWidth="1"/>
    <col min="2" max="6" width="27.140625" customWidth="1"/>
    <col min="7" max="7" width="22.42578125" customWidth="1"/>
  </cols>
  <sheetData>
    <row r="1" spans="1:6" ht="15" x14ac:dyDescent="0.25"/>
    <row r="2" spans="1:6" ht="15" x14ac:dyDescent="0.25">
      <c r="B2" s="2" t="s">
        <v>20</v>
      </c>
      <c r="C2" t="s">
        <v>21</v>
      </c>
    </row>
    <row r="3" spans="1:6" ht="15" x14ac:dyDescent="0.25"/>
    <row r="4" spans="1:6" ht="18.75" customHeight="1" x14ac:dyDescent="0.3">
      <c r="A4" s="30" t="s">
        <v>54</v>
      </c>
      <c r="B4" s="19" t="str">
        <f>_xlfn.IFNA(IF(COLUMN()-2&lt;VLOOKUP(ROUND((ROW()-3)/2,0)&amp;"1",'Tabla de la cancion'!$A$2:$C$61,3,FALSE),_xlfn.IFNA(VLOOKUP(ROUND((ROW()-3)/2,0)&amp;COLUMN()-1,'Tabla de la cancion'!$A$2:$E$61,5,FALSE),"'"),""),"")</f>
        <v>E</v>
      </c>
      <c r="C4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4" s="21" t="str">
        <f>_xlfn.IFNA(IF(COLUMN()-2&lt;VLOOKUP(ROUND((ROW()-3)/2,0)&amp;"1",'Tabla de la cancion'!$A$2:$C$61,3,FALSE),_xlfn.IFNA(VLOOKUP(ROUND((ROW()-3)/2,0)&amp;COLUMN()-1,'Tabla de la cancion'!$A$2:$E$61,5,FALSE),"'"),""),"")</f>
        <v>C</v>
      </c>
      <c r="E4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" spans="1:6" ht="18.75" customHeight="1" thickBot="1" x14ac:dyDescent="0.35">
      <c r="A5" s="31"/>
      <c r="B5" s="23" t="str">
        <f>_xlfn.IFNA(IF(COLUMN()-2&lt;VLOOKUP(ROUND((ROW()-3)/2,0)&amp;"1",'Tabla de la cancion'!$A$2:$C$61,3,FALSE),_xlfn.IFNA(VLOOKUP(ROUND((ROW()-3)/2,0)&amp;COLUMN()-1,'Tabla de la cancion'!$A$2:$D$61,4,FALSE),"'"),""),"")</f>
        <v>Shawtys like a melo</v>
      </c>
      <c r="C5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5" s="25" t="str">
        <f>_xlfn.IFNA(IF(COLUMN()-2&lt;VLOOKUP(ROUND((ROW()-3)/2,0)&amp;"1",'Tabla de la cancion'!$A$2:$C$61,3,FALSE),_xlfn.IFNA(VLOOKUP(ROUND((ROW()-3)/2,0)&amp;COLUMN()-1,'Tabla de la cancion'!$A$2:$D$61,4,FALSE),"'"),""),"")</f>
        <v xml:space="preserve">dy in my </v>
      </c>
      <c r="E5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" spans="1:6" ht="18.75" customHeight="1" x14ac:dyDescent="0.3">
      <c r="A6" s="32" t="s">
        <v>51</v>
      </c>
      <c r="B6" s="19" t="str">
        <f>_xlfn.IFNA(IF(COLUMN()-2&lt;VLOOKUP(ROUND((ROW()-3)/2,0)&amp;"1",'Tabla de la cancion'!$A$2:$C$61,3,FALSE),_xlfn.IFNA(VLOOKUP(ROUND((ROW()-3)/2,0)&amp;COLUMN()-1,'Tabla de la cancion'!$A$2:$E$61,5,FALSE),"'"),""),"")</f>
        <v>G</v>
      </c>
      <c r="C6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6" s="21" t="str">
        <f>_xlfn.IFNA(IF(COLUMN()-2&lt;VLOOKUP(ROUND((ROW()-3)/2,0)&amp;"1",'Tabla de la cancion'!$A$2:$C$61,3,FALSE),_xlfn.IFNA(VLOOKUP(ROUND((ROW()-3)/2,0)&amp;COLUMN()-1,'Tabla de la cancion'!$A$2:$E$61,5,FALSE),"'"),""),"")</f>
        <v>D</v>
      </c>
      <c r="E6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" spans="1:6" ht="18.75" customHeight="1" thickBot="1" x14ac:dyDescent="0.35">
      <c r="A7" s="33"/>
      <c r="B7" s="23" t="str">
        <f>_xlfn.IFNA(IF(COLUMN()-2&lt;VLOOKUP(ROUND((ROW()-3)/2,0)&amp;"1",'Tabla de la cancion'!$A$2:$C$61,3,FALSE),_xlfn.IFNA(VLOOKUP(ROUND((ROW()-3)/2,0)&amp;COLUMN()-1,'Tabla de la cancion'!$A$2:$D$61,4,FALSE),"'"),""),"")</f>
        <v>head that i cant keep</v>
      </c>
      <c r="C7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7" s="25" t="str">
        <f>_xlfn.IFNA(IF(COLUMN()-2&lt;VLOOKUP(ROUND((ROW()-3)/2,0)&amp;"1",'Tabla de la cancion'!$A$2:$C$61,3,FALSE),_xlfn.IFNA(VLOOKUP(ROUND((ROW()-3)/2,0)&amp;COLUMN()-1,'Tabla de la cancion'!$A$2:$D$61,4,FALSE),"'"),""),"")</f>
        <v>out got me singing like</v>
      </c>
      <c r="E7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" spans="1:6" ht="18.75" customHeight="1" x14ac:dyDescent="0.3">
      <c r="A8" s="34" t="s">
        <v>52</v>
      </c>
      <c r="B8" s="19" t="str">
        <f>_xlfn.IFNA(IF(COLUMN()-2&lt;VLOOKUP(ROUND((ROW()-3)/2,0)&amp;"1",'Tabla de la cancion'!$A$2:$C$61,3,FALSE),_xlfn.IFNA(VLOOKUP(ROUND((ROW()-3)/2,0)&amp;COLUMN()-1,'Tabla de la cancion'!$A$2:$E$61,5,FALSE),"'"),""),"")</f>
        <v>E</v>
      </c>
      <c r="C8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8" s="21" t="str">
        <f>_xlfn.IFNA(IF(COLUMN()-2&lt;VLOOKUP(ROUND((ROW()-3)/2,0)&amp;"1",'Tabla de la cancion'!$A$2:$C$61,3,FALSE),_xlfn.IFNA(VLOOKUP(ROUND((ROW()-3)/2,0)&amp;COLUMN()-1,'Tabla de la cancion'!$A$2:$E$61,5,FALSE),"'"),""),"")</f>
        <v>C</v>
      </c>
      <c r="E8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" spans="1:6" ht="18.75" customHeight="1" thickBot="1" x14ac:dyDescent="0.35">
      <c r="A9" s="35"/>
      <c r="B9" s="23" t="str">
        <f>_xlfn.IFNA(IF(COLUMN()-2&lt;VLOOKUP(ROUND((ROW()-3)/2,0)&amp;"1",'Tabla de la cancion'!$A$2:$C$61,3,FALSE),_xlfn.IFNA(VLOOKUP(ROUND((ROW()-3)/2,0)&amp;COLUMN()-1,'Tabla de la cancion'!$A$2:$D$61,4,FALSE),"'"),""),"")</f>
        <v xml:space="preserve">na ra na na </v>
      </c>
      <c r="C9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9" s="25" t="str">
        <f>_xlfn.IFNA(IF(COLUMN()-2&lt;VLOOKUP(ROUND((ROW()-3)/2,0)&amp;"1",'Tabla de la cancion'!$A$2:$C$61,3,FALSE),_xlfn.IFNA(VLOOKUP(ROUND((ROW()-3)/2,0)&amp;COLUMN()-1,'Tabla de la cancion'!$A$2:$D$61,4,FALSE),"'"),""),"")</f>
        <v>every day</v>
      </c>
      <c r="E9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" spans="1:6" ht="18.75" customHeight="1" x14ac:dyDescent="0.3">
      <c r="A10" s="36" t="s">
        <v>53</v>
      </c>
      <c r="B10" s="19" t="str">
        <f>_xlfn.IFNA(IF(COLUMN()-2&lt;VLOOKUP(ROUND((ROW()-3)/2,0)&amp;"1",'Tabla de la cancion'!$A$2:$C$61,3,FALSE),_xlfn.IFNA(VLOOKUP(ROUND((ROW()-3)/2,0)&amp;COLUMN()-1,'Tabla de la cancion'!$A$2:$E$61,5,FALSE),"'"),""),"")</f>
        <v>G</v>
      </c>
      <c r="C10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10" s="21" t="str">
        <f>_xlfn.IFNA(IF(COLUMN()-2&lt;VLOOKUP(ROUND((ROW()-3)/2,0)&amp;"1",'Tabla de la cancion'!$A$2:$C$61,3,FALSE),_xlfn.IFNA(VLOOKUP(ROUND((ROW()-3)/2,0)&amp;COLUMN()-1,'Tabla de la cancion'!$A$2:$E$61,5,FALSE),"'"),""),"")</f>
        <v>D</v>
      </c>
      <c r="E10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1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1" spans="1:6" ht="18.75" customHeight="1" thickBot="1" x14ac:dyDescent="0.35">
      <c r="A11" s="37"/>
      <c r="B11" s="23" t="str">
        <f>_xlfn.IFNA(IF(COLUMN()-2&lt;VLOOKUP(ROUND((ROW()-3)/2,0)&amp;"1",'Tabla de la cancion'!$A$2:$C$61,3,FALSE),_xlfn.IFNA(VLOOKUP(ROUND((ROW()-3)/2,0)&amp;COLUMN()-1,'Tabla de la cancion'!$A$2:$D$61,4,FALSE),"'"),""),"")</f>
        <v xml:space="preserve">Its like my ipod </v>
      </c>
      <c r="C11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11" s="25" t="str">
        <f>_xlfn.IFNA(IF(COLUMN()-2&lt;VLOOKUP(ROUND((ROW()-3)/2,0)&amp;"1",'Tabla de la cancion'!$A$2:$C$61,3,FALSE),_xlfn.IFNA(VLOOKUP(ROUND((ROW()-3)/2,0)&amp;COLUMN()-1,'Tabla de la cancion'!$A$2:$D$61,4,FALSE),"'"),""),"")</f>
        <v>stuck-on replay</v>
      </c>
      <c r="E11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1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2" spans="1:6" ht="18.75" customHeight="1" x14ac:dyDescent="0.3">
      <c r="A12" s="30" t="s">
        <v>55</v>
      </c>
      <c r="B1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3" spans="1:6" ht="18.75" customHeight="1" thickBot="1" x14ac:dyDescent="0.35">
      <c r="A13" s="31"/>
      <c r="B1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4" spans="1:6" ht="18.75" customHeight="1" x14ac:dyDescent="0.3">
      <c r="A14" s="32" t="s">
        <v>56</v>
      </c>
      <c r="B1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5" spans="1:6" ht="18.75" customHeight="1" thickBot="1" x14ac:dyDescent="0.35">
      <c r="A15" s="33"/>
      <c r="B1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6" spans="1:6" ht="18.75" customHeight="1" x14ac:dyDescent="0.3">
      <c r="A16" s="34" t="s">
        <v>57</v>
      </c>
      <c r="B1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7" spans="1:6" ht="18.75" customHeight="1" thickBot="1" x14ac:dyDescent="0.35">
      <c r="A17" s="35"/>
      <c r="B1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8" spans="1:6" ht="18.75" customHeight="1" x14ac:dyDescent="0.3">
      <c r="A18" s="36" t="s">
        <v>58</v>
      </c>
      <c r="B1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9" spans="1:6" ht="18.75" customHeight="1" thickBot="1" x14ac:dyDescent="0.35">
      <c r="A19" s="37"/>
      <c r="B1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0" spans="1:6" ht="18.75" customHeight="1" x14ac:dyDescent="0.3">
      <c r="A20" s="30" t="s">
        <v>59</v>
      </c>
      <c r="B2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1" spans="1:6" ht="18.75" customHeight="1" thickBot="1" x14ac:dyDescent="0.35">
      <c r="A21" s="31"/>
      <c r="B2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2" spans="1:6" ht="18.75" customHeight="1" x14ac:dyDescent="0.3">
      <c r="A22" s="32" t="s">
        <v>60</v>
      </c>
      <c r="B2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3" spans="1:6" ht="18.75" customHeight="1" thickBot="1" x14ac:dyDescent="0.35">
      <c r="A23" s="33"/>
      <c r="B2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4" spans="1:6" ht="18.75" customHeight="1" x14ac:dyDescent="0.3">
      <c r="A24" s="34" t="s">
        <v>61</v>
      </c>
      <c r="B2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5" spans="1:6" ht="18.75" customHeight="1" thickBot="1" x14ac:dyDescent="0.35">
      <c r="A25" s="35"/>
      <c r="B2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6" spans="1:6" ht="18.75" customHeight="1" x14ac:dyDescent="0.3">
      <c r="A26" s="36" t="s">
        <v>62</v>
      </c>
      <c r="B2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7" spans="1:6" ht="18.75" customHeight="1" thickBot="1" x14ac:dyDescent="0.35">
      <c r="A27" s="37"/>
      <c r="B2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8" spans="1:6" ht="18.75" customHeight="1" x14ac:dyDescent="0.3">
      <c r="A28" s="30" t="s">
        <v>63</v>
      </c>
      <c r="B2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9" spans="1:6" ht="18.75" customHeight="1" thickBot="1" x14ac:dyDescent="0.35">
      <c r="A29" s="31"/>
      <c r="B2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0" spans="1:6" ht="18.75" customHeight="1" x14ac:dyDescent="0.3">
      <c r="A30" s="32" t="s">
        <v>64</v>
      </c>
      <c r="B3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1" spans="1:6" ht="18.75" customHeight="1" thickBot="1" x14ac:dyDescent="0.35">
      <c r="A31" s="33"/>
      <c r="B3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2" spans="1:6" ht="18.75" customHeight="1" x14ac:dyDescent="0.3">
      <c r="A32" s="34" t="s">
        <v>65</v>
      </c>
      <c r="B3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3" spans="1:6" ht="18.75" customHeight="1" thickBot="1" x14ac:dyDescent="0.35">
      <c r="A33" s="35"/>
      <c r="B3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4" spans="1:6" ht="18.75" customHeight="1" x14ac:dyDescent="0.3">
      <c r="A34" s="36" t="s">
        <v>66</v>
      </c>
      <c r="B3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5" spans="1:6" ht="18.75" customHeight="1" thickBot="1" x14ac:dyDescent="0.35">
      <c r="A35" s="37"/>
      <c r="B3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6" spans="1:6" s="17" customFormat="1" ht="18.75" customHeight="1" x14ac:dyDescent="0.3">
      <c r="A36" s="30" t="s">
        <v>67</v>
      </c>
      <c r="B3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7" spans="1:6" s="17" customFormat="1" ht="18.75" customHeight="1" thickBot="1" x14ac:dyDescent="0.35">
      <c r="A37" s="31"/>
      <c r="B3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8" spans="1:6" ht="18.75" customHeight="1" x14ac:dyDescent="0.3">
      <c r="A38" s="32" t="s">
        <v>68</v>
      </c>
      <c r="B3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9" spans="1:6" ht="18.75" customHeight="1" thickBot="1" x14ac:dyDescent="0.35">
      <c r="A39" s="33"/>
      <c r="B3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0" spans="1:6" ht="18.75" customHeight="1" x14ac:dyDescent="0.3">
      <c r="A40" s="34" t="s">
        <v>69</v>
      </c>
      <c r="B4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1" spans="1:6" ht="18.75" customHeight="1" thickBot="1" x14ac:dyDescent="0.35">
      <c r="A41" s="35"/>
      <c r="B4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2" spans="1:6" ht="18.75" customHeight="1" x14ac:dyDescent="0.3">
      <c r="A42" s="36" t="s">
        <v>70</v>
      </c>
      <c r="B4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3" spans="1:6" ht="18.75" customHeight="1" thickBot="1" x14ac:dyDescent="0.35">
      <c r="A43" s="37"/>
      <c r="B4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4" spans="1:6" ht="18.75" customHeight="1" x14ac:dyDescent="0.3">
      <c r="A44" s="30" t="s">
        <v>71</v>
      </c>
      <c r="B4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5" spans="1:6" ht="18.75" customHeight="1" thickBot="1" x14ac:dyDescent="0.35">
      <c r="A45" s="31"/>
      <c r="B4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6" spans="1:6" ht="18.75" customHeight="1" x14ac:dyDescent="0.3">
      <c r="A46" s="32" t="s">
        <v>72</v>
      </c>
      <c r="B4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7" spans="1:6" ht="18.75" customHeight="1" thickBot="1" x14ac:dyDescent="0.35">
      <c r="A47" s="33"/>
      <c r="B4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8" spans="1:6" ht="18.75" customHeight="1" x14ac:dyDescent="0.3">
      <c r="A48" s="34" t="s">
        <v>73</v>
      </c>
      <c r="B4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9" spans="1:6" ht="18.75" customHeight="1" thickBot="1" x14ac:dyDescent="0.35">
      <c r="A49" s="35"/>
      <c r="B4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0" spans="1:6" ht="18.75" customHeight="1" x14ac:dyDescent="0.3">
      <c r="A50" s="36" t="s">
        <v>74</v>
      </c>
      <c r="B5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1" spans="1:6" ht="18.75" customHeight="1" thickBot="1" x14ac:dyDescent="0.35">
      <c r="A51" s="37"/>
      <c r="B5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2" spans="1:6" ht="18.75" customHeight="1" x14ac:dyDescent="0.3">
      <c r="A52" s="30" t="s">
        <v>75</v>
      </c>
      <c r="B5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3" spans="1:6" ht="18.75" customHeight="1" thickBot="1" x14ac:dyDescent="0.35">
      <c r="A53" s="31"/>
      <c r="B5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4" spans="1:6" ht="18.75" customHeight="1" x14ac:dyDescent="0.3">
      <c r="A54" s="32" t="s">
        <v>76</v>
      </c>
      <c r="B5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5" spans="1:6" ht="18.75" customHeight="1" thickBot="1" x14ac:dyDescent="0.35">
      <c r="A55" s="33"/>
      <c r="B5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6" spans="1:6" ht="18.75" customHeight="1" x14ac:dyDescent="0.3">
      <c r="A56" s="34" t="s">
        <v>77</v>
      </c>
      <c r="B5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7" spans="1:6" ht="18.75" customHeight="1" thickBot="1" x14ac:dyDescent="0.35">
      <c r="A57" s="35"/>
      <c r="B5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8" spans="1:6" ht="18.75" customHeight="1" x14ac:dyDescent="0.3">
      <c r="A58" s="36" t="s">
        <v>78</v>
      </c>
      <c r="B5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9" spans="1:6" ht="18.75" customHeight="1" thickBot="1" x14ac:dyDescent="0.35">
      <c r="A59" s="37"/>
      <c r="B5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0" spans="1:6" ht="18.75" customHeight="1" x14ac:dyDescent="0.3">
      <c r="A60" s="30" t="s">
        <v>79</v>
      </c>
      <c r="B6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1" spans="1:6" ht="18.75" customHeight="1" thickBot="1" x14ac:dyDescent="0.35">
      <c r="A61" s="31"/>
      <c r="B6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2" spans="1:6" ht="18.75" customHeight="1" x14ac:dyDescent="0.3">
      <c r="A62" s="32" t="s">
        <v>80</v>
      </c>
      <c r="B6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3" spans="1:6" ht="18.75" customHeight="1" thickBot="1" x14ac:dyDescent="0.35">
      <c r="A63" s="33"/>
      <c r="B6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4" spans="1:6" ht="18.75" customHeight="1" x14ac:dyDescent="0.3">
      <c r="A64" s="34" t="s">
        <v>81</v>
      </c>
      <c r="B6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5" spans="1:6" ht="18.75" customHeight="1" thickBot="1" x14ac:dyDescent="0.35">
      <c r="A65" s="35"/>
      <c r="B6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6" spans="1:6" ht="18.75" customHeight="1" x14ac:dyDescent="0.3">
      <c r="A66" s="36" t="s">
        <v>82</v>
      </c>
      <c r="B6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7" spans="1:6" ht="18.75" customHeight="1" thickBot="1" x14ac:dyDescent="0.35">
      <c r="A67" s="37"/>
      <c r="B6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8" spans="1:6" ht="18.75" customHeight="1" x14ac:dyDescent="0.3">
      <c r="A68" s="30" t="s">
        <v>83</v>
      </c>
      <c r="B6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9" spans="1:6" ht="18.75" customHeight="1" thickBot="1" x14ac:dyDescent="0.35">
      <c r="A69" s="31"/>
      <c r="B6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0" spans="1:6" ht="18.75" customHeight="1" x14ac:dyDescent="0.3">
      <c r="A70" s="32" t="s">
        <v>84</v>
      </c>
      <c r="B7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1" spans="1:6" ht="18.75" customHeight="1" thickBot="1" x14ac:dyDescent="0.35">
      <c r="A71" s="33"/>
      <c r="B7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2" spans="1:6" ht="18.75" customHeight="1" x14ac:dyDescent="0.3">
      <c r="A72" s="34" t="s">
        <v>85</v>
      </c>
      <c r="B7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3" spans="1:6" ht="18.75" customHeight="1" thickBot="1" x14ac:dyDescent="0.35">
      <c r="A73" s="35"/>
      <c r="B7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4" spans="1:6" ht="18.75" customHeight="1" x14ac:dyDescent="0.3">
      <c r="A74" s="36" t="s">
        <v>86</v>
      </c>
      <c r="B7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5" spans="1:6" ht="18.75" customHeight="1" thickBot="1" x14ac:dyDescent="0.35">
      <c r="A75" s="37"/>
      <c r="B7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6" spans="1:6" ht="18.75" customHeight="1" x14ac:dyDescent="0.3">
      <c r="A76" s="30" t="s">
        <v>87</v>
      </c>
      <c r="B7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7" spans="1:6" ht="18.75" customHeight="1" thickBot="1" x14ac:dyDescent="0.35">
      <c r="A77" s="31"/>
      <c r="B7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8" spans="1:6" ht="18.75" customHeight="1" x14ac:dyDescent="0.3">
      <c r="A78" s="32" t="s">
        <v>88</v>
      </c>
      <c r="B7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9" spans="1:6" ht="18.75" customHeight="1" thickBot="1" x14ac:dyDescent="0.35">
      <c r="A79" s="33"/>
      <c r="B7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0" spans="1:6" ht="18.75" customHeight="1" x14ac:dyDescent="0.3">
      <c r="A80" s="34" t="s">
        <v>89</v>
      </c>
      <c r="B8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1" spans="1:6" ht="18.75" customHeight="1" thickBot="1" x14ac:dyDescent="0.35">
      <c r="A81" s="35"/>
      <c r="B8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2" spans="1:6" ht="18.75" customHeight="1" x14ac:dyDescent="0.3">
      <c r="A82" s="36" t="s">
        <v>90</v>
      </c>
      <c r="B8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3" spans="1:6" ht="18.75" customHeight="1" thickBot="1" x14ac:dyDescent="0.35">
      <c r="A83" s="37"/>
      <c r="B8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4" spans="1:6" ht="18.75" customHeight="1" x14ac:dyDescent="0.3">
      <c r="A84" s="30" t="s">
        <v>91</v>
      </c>
      <c r="B8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5" spans="1:6" ht="18.75" customHeight="1" thickBot="1" x14ac:dyDescent="0.35">
      <c r="A85" s="31"/>
      <c r="B8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6" spans="1:6" ht="18.75" customHeight="1" x14ac:dyDescent="0.3">
      <c r="A86" s="32" t="s">
        <v>92</v>
      </c>
      <c r="B8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7" spans="1:6" ht="18.75" customHeight="1" thickBot="1" x14ac:dyDescent="0.35">
      <c r="A87" s="33"/>
      <c r="B8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8" spans="1:6" ht="18.75" customHeight="1" x14ac:dyDescent="0.3">
      <c r="A88" s="34" t="s">
        <v>93</v>
      </c>
      <c r="B8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9" spans="1:6" ht="18.75" customHeight="1" thickBot="1" x14ac:dyDescent="0.35">
      <c r="A89" s="35"/>
      <c r="B8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0" spans="1:6" ht="18.75" customHeight="1" x14ac:dyDescent="0.3">
      <c r="A90" s="36" t="s">
        <v>94</v>
      </c>
      <c r="B9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1" spans="1:6" ht="18.75" customHeight="1" thickBot="1" x14ac:dyDescent="0.35">
      <c r="A91" s="37"/>
      <c r="B9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2" spans="1:6" ht="18.75" customHeight="1" x14ac:dyDescent="0.3">
      <c r="A92" s="30" t="s">
        <v>95</v>
      </c>
      <c r="B9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3" spans="1:6" ht="18.75" customHeight="1" thickBot="1" x14ac:dyDescent="0.35">
      <c r="A93" s="31"/>
      <c r="B9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4" spans="1:6" ht="18.75" customHeight="1" x14ac:dyDescent="0.3">
      <c r="A94" s="32" t="s">
        <v>96</v>
      </c>
      <c r="B9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5" spans="1:6" ht="18.75" customHeight="1" thickBot="1" x14ac:dyDescent="0.35">
      <c r="A95" s="33"/>
      <c r="B9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6" spans="1:6" ht="18.75" customHeight="1" x14ac:dyDescent="0.3">
      <c r="A96" s="34" t="s">
        <v>97</v>
      </c>
      <c r="B9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7" spans="1:6" ht="18.75" customHeight="1" thickBot="1" x14ac:dyDescent="0.35">
      <c r="A97" s="35"/>
      <c r="B9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8" spans="1:6" ht="18.75" customHeight="1" x14ac:dyDescent="0.3">
      <c r="A98" s="36" t="s">
        <v>98</v>
      </c>
      <c r="B9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9" spans="1:6" ht="18.75" customHeight="1" thickBot="1" x14ac:dyDescent="0.35">
      <c r="A99" s="37"/>
      <c r="B9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0" spans="1:6" ht="18.75" customHeight="1" x14ac:dyDescent="0.3">
      <c r="A100" s="30" t="s">
        <v>99</v>
      </c>
      <c r="B10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1" spans="1:6" ht="18.75" customHeight="1" thickBot="1" x14ac:dyDescent="0.35">
      <c r="A101" s="31"/>
      <c r="B10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2" spans="1:6" ht="18.75" customHeight="1" x14ac:dyDescent="0.3">
      <c r="A102" s="32" t="s">
        <v>100</v>
      </c>
      <c r="B10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3" spans="1:6" ht="18.75" customHeight="1" thickBot="1" x14ac:dyDescent="0.35">
      <c r="A103" s="33"/>
      <c r="B10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4" spans="1:6" ht="18.75" customHeight="1" x14ac:dyDescent="0.3">
      <c r="A104" s="34" t="s">
        <v>101</v>
      </c>
      <c r="B10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5" spans="1:6" ht="18.75" customHeight="1" thickBot="1" x14ac:dyDescent="0.35">
      <c r="A105" s="35"/>
      <c r="B10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6" spans="1:6" ht="18.75" customHeight="1" x14ac:dyDescent="0.3">
      <c r="A106" s="36" t="s">
        <v>102</v>
      </c>
      <c r="B10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7" spans="1:6" ht="18.75" customHeight="1" thickBot="1" x14ac:dyDescent="0.35">
      <c r="A107" s="37"/>
      <c r="B10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</sheetData>
  <mergeCells count="52">
    <mergeCell ref="A104:A105"/>
    <mergeCell ref="A106:A107"/>
    <mergeCell ref="A90:A91"/>
    <mergeCell ref="A92:A93"/>
    <mergeCell ref="A94:A95"/>
    <mergeCell ref="A96:A97"/>
    <mergeCell ref="A98:A99"/>
    <mergeCell ref="A84:A85"/>
    <mergeCell ref="A86:A87"/>
    <mergeCell ref="A88:A89"/>
    <mergeCell ref="A100:A101"/>
    <mergeCell ref="A102:A103"/>
    <mergeCell ref="A74:A75"/>
    <mergeCell ref="A76:A77"/>
    <mergeCell ref="A78:A79"/>
    <mergeCell ref="A80:A81"/>
    <mergeCell ref="A82:A83"/>
    <mergeCell ref="A64:A65"/>
    <mergeCell ref="A66:A67"/>
    <mergeCell ref="A68:A69"/>
    <mergeCell ref="A70:A71"/>
    <mergeCell ref="A72:A73"/>
    <mergeCell ref="A54:A55"/>
    <mergeCell ref="A56:A57"/>
    <mergeCell ref="A58:A59"/>
    <mergeCell ref="A60:A61"/>
    <mergeCell ref="A62:A63"/>
    <mergeCell ref="A44:A45"/>
    <mergeCell ref="A46:A47"/>
    <mergeCell ref="A48:A49"/>
    <mergeCell ref="A50:A51"/>
    <mergeCell ref="A52:A53"/>
    <mergeCell ref="A24:A25"/>
    <mergeCell ref="A26:A27"/>
    <mergeCell ref="A28:A29"/>
    <mergeCell ref="A40:A41"/>
    <mergeCell ref="A42:A43"/>
    <mergeCell ref="A30:A31"/>
    <mergeCell ref="A32:A33"/>
    <mergeCell ref="A34:A35"/>
    <mergeCell ref="A36:A37"/>
    <mergeCell ref="A38:A39"/>
    <mergeCell ref="A14:A15"/>
    <mergeCell ref="A16:A17"/>
    <mergeCell ref="A18:A19"/>
    <mergeCell ref="A20:A21"/>
    <mergeCell ref="A22:A23"/>
    <mergeCell ref="A4:A5"/>
    <mergeCell ref="A6:A7"/>
    <mergeCell ref="A8:A9"/>
    <mergeCell ref="A10:A11"/>
    <mergeCell ref="A12:A13"/>
  </mergeCells>
  <phoneticPr fontId="1" type="noConversion"/>
  <conditionalFormatting sqref="B4:F107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sheetPr>
    <tabColor rgb="FFFFFF00"/>
  </sheetPr>
  <dimension ref="B1:F1048576"/>
  <sheetViews>
    <sheetView workbookViewId="0">
      <selection activeCell="C18" sqref="C18"/>
    </sheetView>
  </sheetViews>
  <sheetFormatPr baseColWidth="10" defaultRowHeight="15" x14ac:dyDescent="0.25"/>
  <cols>
    <col min="1" max="1" width="14.42578125" customWidth="1"/>
    <col min="2" max="2" width="22.85546875" customWidth="1"/>
    <col min="3" max="3" width="21.85546875" customWidth="1"/>
    <col min="4" max="4" width="16.7109375" customWidth="1"/>
    <col min="5" max="6" width="20.5703125" customWidth="1"/>
  </cols>
  <sheetData>
    <row r="1" spans="2:6" ht="46.5" customHeight="1" x14ac:dyDescent="0.25">
      <c r="B1" s="42" t="str">
        <f>Index!C2</f>
        <v>Replay</v>
      </c>
      <c r="C1" s="42"/>
      <c r="D1" s="42"/>
    </row>
    <row r="2" spans="2:6" x14ac:dyDescent="0.25">
      <c r="B2" t="str">
        <f>IF(Index!$B4="","",IF(Index!$B4="'",IF(NOT(Index!$C4=""),IF(Index!$C4="'",IF(NOT(Index!$D4=""),IF(Index!$D4="'",IF(NOT(Index!$E4=""),IF(Index!$E4="'",IF(NOT(Index!$F4=""),IF(Index!$F4="'","",Index!$F4)),Index!$E4)),Index!$D4)),Index!$C4)),Index!$B4))</f>
        <v>E</v>
      </c>
      <c r="C2" t="str">
        <f>IF(B2="","",IF(INDEX(Index!$B4:$F4,1,MATCH(B2,Index!$B4:$F4,0)+1)="'",IF(INDEX(Index!B4:F4,1,MATCH(B2,Index!$B4:$F4,0)+2)="'",IF(INDEX(Index!$B4:$F4,1,MATCH(B2,Index!$B4:$F4,0)+2)="'",IF(INDEX(Index!$B4:$F4,1,MATCH(B2,Index!$B4:$F4,0)+3)="'",IF(INDEX(Index!$B4:$F4,1,MATCH(B2,Index!$B4:$F4,0)+4)="'","",INDEX(Index!$B4:$F4,1,MATCH(B2,Index!$B4:$F4,0)+4)),INDEX(Index!$B4:$F4,1,MATCH(B2,Index!$B4:$F4,0)+3)),INDEX(Index!$B4:$F4,1,MATCH(B2,Index!$B4:$F4,0)+2)),INDEX(Index!$B4:$F4,1,MATCH(B2,Index!$B4:$F4,0)+2)),INDEX(Index!$B4:$F4,1,MATCH(B2,Index!$B4:$F4,0)+1)))</f>
        <v>C</v>
      </c>
      <c r="D2" t="str">
        <f>IF(C2="","",IF(INDEX(Index!$B4:$F4,1,MATCH(C2,Index!$B4:$F4,0)+1)="'",IF(INDEX(Index!C4:G4,1,MATCH(C2,Index!$B4:$F4,0)+2)="'",IF(INDEX(Index!$B4:$F4,1,MATCH(C2,Index!$B4:$F4,0)+2)="'",IF(INDEX(Index!$B4:$F4,1,MATCH(C2,Index!$B4:$F4,0)+3)="'",IF(INDEX(Index!$B4:$F4,1,MATCH(C2,Index!$B4:$F4,0)+4)="'","",INDEX(Index!$B4:$F4,1,MATCH(C2,Index!$B4:$F4,0)+4)),INDEX(Index!$B4:$F4,1,MATCH(C2,Index!$B4:$F4,0)+3)),INDEX(Index!$B4:$F4,1,MATCH(C2,Index!$B4:$F4,0)+2)),INDEX(Index!$B4:$F4,1,MATCH(C2,Index!$B4:$F4,0)+2)),INDEX(Index!$B4:$F4,1,MATCH(C2,Index!$B4:$F4,0)+1)))</f>
        <v/>
      </c>
      <c r="E2" t="str">
        <f>IF(D2="","",IF(INDEX(Index!$B4:$F4,1,MATCH(D2,Index!$B4:$F4,0)+1)="'",IF(INDEX(Index!D4:H4,1,MATCH(D2,Index!$B4:$F4,0)+2)="'",IF(INDEX(Index!$B4:$F4,1,MATCH(D2,Index!$B4:$F4,0)+2)="'",IF(INDEX(Index!$B4:$F4,1,MATCH(D2,Index!$B4:$F4,0)+3)="'",IF(INDEX(Index!$B4:$F4,1,MATCH(D2,Index!$B4:$F4,0)+4)="'","",INDEX(Index!$B4:$F4,1,MATCH(D2,Index!$B4:$F4,0)+4)),INDEX(Index!$B4:$F4,1,MATCH(D2,Index!$B4:$F4,0)+3)),INDEX(Index!$B4:$F4,1,MATCH(D2,Index!$B4:$F4,0)+2)),INDEX(Index!$B4:$F4,1,MATCH(D2,Index!$B4:$F4,0)+2)),INDEX(Index!$B4:$F4,1,MATCH(D2,Index!$B4:$F4,0)+1)))</f>
        <v/>
      </c>
      <c r="F2" t="str">
        <f>IF(E2="","",IF(INDEX(Index!$B4:$F4,1,MATCH(E2,Index!$B4:$F4,0)+1)="'",IF(INDEX(Index!E4:I4,1,MATCH(E2,Index!$B4:$F4,0)+2)="'",IF(INDEX(Index!$B4:$F4,1,MATCH(E2,Index!$B4:$F4,0)+2)="'",IF(INDEX(Index!$B4:$F4,1,MATCH(E2,Index!$B4:$F4,0)+3)="'",IF(INDEX(Index!$B4:$F4,1,MATCH(E2,Index!$B4:$F4,0)+4)="'","",INDEX(Index!$B4:$F4,1,MATCH(E2,Index!$B4:$F4,0)+4)),INDEX(Index!$B4:$F4,1,MATCH(E2,Index!$B4:$F4,0)+3)),INDEX(Index!$B4:$F4,1,MATCH(E2,Index!$B4:$F4,0)+2)),INDEX(Index!$B4:$F4,1,MATCH(E2,Index!$B4:$F4,0)+2)),INDEX(Index!$B4:$F4,1,MATCH(E2,Index!$B4:$F4,0)+1)))</f>
        <v/>
      </c>
    </row>
    <row r="3" spans="2:6" x14ac:dyDescent="0.25">
      <c r="B3" t="str">
        <f>IF(Index!$B5="","",IF(Index!$B5="'",IF(NOT(Index!$C5=""),IF(Index!$C5="'",IF(NOT(Index!$D5=""),IF(Index!$D5="'",IF(NOT(Index!$E5=""),IF(Index!$E5="'",IF(NOT(Index!$F5=""),IF(Index!$F5="'","",Index!$F5)),Index!$E5)),Index!$D5)),Index!$C5)),Index!$B5))</f>
        <v>Shawtys like a melo</v>
      </c>
      <c r="C3" t="str">
        <f>IF(B3="","",IF(INDEX(Index!$B5:$F5,1,MATCH(B3,Index!$B5:$F5,0)+1)="'",IF(INDEX(Index!B5:F5,1,MATCH(B3,Index!$B5:$F5,0)+2)="'",IF(INDEX(Index!$B5:$F5,1,MATCH(B3,Index!$B5:$F5,0)+2)="'",IF(INDEX(Index!$B5:$F5,1,MATCH(B3,Index!$B5:$F5,0)+3)="'",IF(INDEX(Index!$B5:$F5,1,MATCH(B3,Index!$B5:$F5,0)+4)="'","",INDEX(Index!$B5:$F5,1,MATCH(B3,Index!$B5:$F5,0)+4)),INDEX(Index!$B5:$F5,1,MATCH(B3,Index!$B5:$F5,0)+3)),INDEX(Index!$B5:$F5,1,MATCH(B3,Index!$B5:$F5,0)+2)),INDEX(Index!$B5:$F5,1,MATCH(B3,Index!$B5:$F5,0)+2)),INDEX(Index!$B5:$F5,1,MATCH(B3,Index!$B5:$F5,0)+1)))</f>
        <v xml:space="preserve">dy in my </v>
      </c>
      <c r="D3" t="str">
        <f>IF(C3="","",IF(INDEX(Index!$B5:$F5,1,MATCH(C3,Index!$B5:$F5,0)+1)="'",IF(INDEX(Index!C5:G5,1,MATCH(C3,Index!$B5:$F5,0)+2)="'",IF(INDEX(Index!$B5:$F5,1,MATCH(C3,Index!$B5:$F5,0)+2)="'",IF(INDEX(Index!$B5:$F5,1,MATCH(C3,Index!$B5:$F5,0)+3)="'",IF(INDEX(Index!$B5:$F5,1,MATCH(C3,Index!$B5:$F5,0)+4)="'","",INDEX(Index!$B5:$F5,1,MATCH(C3,Index!$B5:$F5,0)+4)),INDEX(Index!$B5:$F5,1,MATCH(C3,Index!$B5:$F5,0)+3)),INDEX(Index!$B5:$F5,1,MATCH(C3,Index!$B5:$F5,0)+2)),INDEX(Index!$B5:$F5,1,MATCH(C3,Index!$B5:$F5,0)+2)),INDEX(Index!$B5:$F5,1,MATCH(C3,Index!$B5:$F5,0)+1)))</f>
        <v/>
      </c>
      <c r="E3" t="str">
        <f>IF(D3="","",IF(INDEX(Index!$B5:$F5,1,MATCH(D3,Index!$B5:$F5,0)+1)="'",IF(INDEX(Index!D5:H5,1,MATCH(D3,Index!$B5:$F5,0)+2)="'",IF(INDEX(Index!$B5:$F5,1,MATCH(D3,Index!$B5:$F5,0)+2)="'",IF(INDEX(Index!$B5:$F5,1,MATCH(D3,Index!$B5:$F5,0)+3)="'",IF(INDEX(Index!$B5:$F5,1,MATCH(D3,Index!$B5:$F5,0)+4)="'","",INDEX(Index!$B5:$F5,1,MATCH(D3,Index!$B5:$F5,0)+4)),INDEX(Index!$B5:$F5,1,MATCH(D3,Index!$B5:$F5,0)+3)),INDEX(Index!$B5:$F5,1,MATCH(D3,Index!$B5:$F5,0)+2)),INDEX(Index!$B5:$F5,1,MATCH(D3,Index!$B5:$F5,0)+2)),INDEX(Index!$B5:$F5,1,MATCH(D3,Index!$B5:$F5,0)+1)))</f>
        <v/>
      </c>
      <c r="F3" t="str">
        <f>IF(E3="","",IF(INDEX(Index!$B5:$F5,1,MATCH(E3,Index!$B5:$F5,0)+1)="'",IF(INDEX(Index!E5:I5,1,MATCH(E3,Index!$B5:$F5,0)+2)="'",IF(INDEX(Index!$B5:$F5,1,MATCH(E3,Index!$B5:$F5,0)+2)="'",IF(INDEX(Index!$B5:$F5,1,MATCH(E3,Index!$B5:$F5,0)+3)="'",IF(INDEX(Index!$B5:$F5,1,MATCH(E3,Index!$B5:$F5,0)+4)="'","",INDEX(Index!$B5:$F5,1,MATCH(E3,Index!$B5:$F5,0)+4)),INDEX(Index!$B5:$F5,1,MATCH(E3,Index!$B5:$F5,0)+3)),INDEX(Index!$B5:$F5,1,MATCH(E3,Index!$B5:$F5,0)+2)),INDEX(Index!$B5:$F5,1,MATCH(E3,Index!$B5:$F5,0)+2)),INDEX(Index!$B5:$F5,1,MATCH(E3,Index!$B5:$F5,0)+1)))</f>
        <v/>
      </c>
    </row>
    <row r="4" spans="2:6" x14ac:dyDescent="0.25">
      <c r="B4" t="str">
        <f>IF(Index!$B6="","",IF(Index!$B6="'",IF(NOT(Index!$C6=""),IF(Index!$C6="'",IF(NOT(Index!$D6=""),IF(Index!$D6="'",IF(NOT(Index!$E6=""),IF(Index!$E6="'",IF(NOT(Index!$F6=""),IF(Index!$F6="'","",Index!$F6)),Index!$E6)),Index!$D6)),Index!$C6)),Index!$B6))</f>
        <v>G</v>
      </c>
      <c r="C4" t="str">
        <f>IF(B4="","",IF(INDEX(Index!$B6:$F6,1,MATCH(B4,Index!$B6:$F6,0)+1)="'",IF(INDEX(Index!B6:F6,1,MATCH(B4,Index!$B6:$F6,0)+2)="'",IF(INDEX(Index!$B6:$F6,1,MATCH(B4,Index!$B6:$F6,0)+2)="'",IF(INDEX(Index!$B6:$F6,1,MATCH(B4,Index!$B6:$F6,0)+3)="'",IF(INDEX(Index!$B6:$F6,1,MATCH(B4,Index!$B6:$F6,0)+4)="'","",INDEX(Index!$B6:$F6,1,MATCH(B4,Index!$B6:$F6,0)+4)),INDEX(Index!$B6:$F6,1,MATCH(B4,Index!$B6:$F6,0)+3)),INDEX(Index!$B6:$F6,1,MATCH(B4,Index!$B6:$F6,0)+2)),INDEX(Index!$B6:$F6,1,MATCH(B4,Index!$B6:$F6,0)+2)),INDEX(Index!$B6:$F6,1,MATCH(B4,Index!$B6:$F6,0)+1)))</f>
        <v>D</v>
      </c>
      <c r="D4" t="str">
        <f>IF(C4="","",IF(INDEX(Index!$B6:$F6,1,MATCH(C4,Index!$B6:$F6,0)+1)="'",IF(INDEX(Index!C6:G6,1,MATCH(C4,Index!$B6:$F6,0)+2)="'",IF(INDEX(Index!$B6:$F6,1,MATCH(C4,Index!$B6:$F6,0)+2)="'",IF(INDEX(Index!$B6:$F6,1,MATCH(C4,Index!$B6:$F6,0)+3)="'",IF(INDEX(Index!$B6:$F6,1,MATCH(C4,Index!$B6:$F6,0)+4)="'","",INDEX(Index!$B6:$F6,1,MATCH(C4,Index!$B6:$F6,0)+4)),INDEX(Index!$B6:$F6,1,MATCH(C4,Index!$B6:$F6,0)+3)),INDEX(Index!$B6:$F6,1,MATCH(C4,Index!$B6:$F6,0)+2)),INDEX(Index!$B6:$F6,1,MATCH(C4,Index!$B6:$F6,0)+2)),INDEX(Index!$B6:$F6,1,MATCH(C4,Index!$B6:$F6,0)+1)))</f>
        <v/>
      </c>
      <c r="E4" t="str">
        <f>IF(D4="","",IF(INDEX(Index!$B6:$F6,1,MATCH(D4,Index!$B6:$F6,0)+1)="'",IF(INDEX(Index!D6:H6,1,MATCH(D4,Index!$B6:$F6,0)+2)="'",IF(INDEX(Index!$B6:$F6,1,MATCH(D4,Index!$B6:$F6,0)+2)="'",IF(INDEX(Index!$B6:$F6,1,MATCH(D4,Index!$B6:$F6,0)+3)="'",IF(INDEX(Index!$B6:$F6,1,MATCH(D4,Index!$B6:$F6,0)+4)="'","",INDEX(Index!$B6:$F6,1,MATCH(D4,Index!$B6:$F6,0)+4)),INDEX(Index!$B6:$F6,1,MATCH(D4,Index!$B6:$F6,0)+3)),INDEX(Index!$B6:$F6,1,MATCH(D4,Index!$B6:$F6,0)+2)),INDEX(Index!$B6:$F6,1,MATCH(D4,Index!$B6:$F6,0)+2)),INDEX(Index!$B6:$F6,1,MATCH(D4,Index!$B6:$F6,0)+1)))</f>
        <v/>
      </c>
      <c r="F4" t="str">
        <f>IF(E4="","",IF(INDEX(Index!$B6:$F6,1,MATCH(E4,Index!$B6:$F6,0)+1)="'",IF(INDEX(Index!E6:I6,1,MATCH(E4,Index!$B6:$F6,0)+2)="'",IF(INDEX(Index!$B6:$F6,1,MATCH(E4,Index!$B6:$F6,0)+2)="'",IF(INDEX(Index!$B6:$F6,1,MATCH(E4,Index!$B6:$F6,0)+3)="'",IF(INDEX(Index!$B6:$F6,1,MATCH(E4,Index!$B6:$F6,0)+4)="'","",INDEX(Index!$B6:$F6,1,MATCH(E4,Index!$B6:$F6,0)+4)),INDEX(Index!$B6:$F6,1,MATCH(E4,Index!$B6:$F6,0)+3)),INDEX(Index!$B6:$F6,1,MATCH(E4,Index!$B6:$F6,0)+2)),INDEX(Index!$B6:$F6,1,MATCH(E4,Index!$B6:$F6,0)+2)),INDEX(Index!$B6:$F6,1,MATCH(E4,Index!$B6:$F6,0)+1)))</f>
        <v/>
      </c>
    </row>
    <row r="5" spans="2:6" x14ac:dyDescent="0.25">
      <c r="B5" t="str">
        <f>IF(Index!$B7="","",IF(Index!$B7="'",IF(NOT(Index!$C7=""),IF(Index!$C7="'",IF(NOT(Index!$D7=""),IF(Index!$D7="'",IF(NOT(Index!$E7=""),IF(Index!$E7="'",IF(NOT(Index!$F7=""),IF(Index!$F7="'","",Index!$F7)),Index!$E7)),Index!$D7)),Index!$C7)),Index!$B7))</f>
        <v>head that i cant keep</v>
      </c>
      <c r="C5" t="str">
        <f>IF(B5="","",IF(INDEX(Index!$B7:$F7,1,MATCH(B5,Index!$B7:$F7,0)+1)="'",IF(INDEX(Index!B7:F7,1,MATCH(B5,Index!$B7:$F7,0)+2)="'",IF(INDEX(Index!$B7:$F7,1,MATCH(B5,Index!$B7:$F7,0)+2)="'",IF(INDEX(Index!$B7:$F7,1,MATCH(B5,Index!$B7:$F7,0)+3)="'",IF(INDEX(Index!$B7:$F7,1,MATCH(B5,Index!$B7:$F7,0)+4)="'","",INDEX(Index!$B7:$F7,1,MATCH(B5,Index!$B7:$F7,0)+4)),INDEX(Index!$B7:$F7,1,MATCH(B5,Index!$B7:$F7,0)+3)),INDEX(Index!$B7:$F7,1,MATCH(B5,Index!$B7:$F7,0)+2)),INDEX(Index!$B7:$F7,1,MATCH(B5,Index!$B7:$F7,0)+2)),INDEX(Index!$B7:$F7,1,MATCH(B5,Index!$B7:$F7,0)+1)))</f>
        <v>out got me singing like</v>
      </c>
      <c r="D5" t="str">
        <f>IF(C5="","",IF(INDEX(Index!$B7:$F7,1,MATCH(C5,Index!$B7:$F7,0)+1)="'",IF(INDEX(Index!C7:G7,1,MATCH(C5,Index!$B7:$F7,0)+2)="'",IF(INDEX(Index!$B7:$F7,1,MATCH(C5,Index!$B7:$F7,0)+2)="'",IF(INDEX(Index!$B7:$F7,1,MATCH(C5,Index!$B7:$F7,0)+3)="'",IF(INDEX(Index!$B7:$F7,1,MATCH(C5,Index!$B7:$F7,0)+4)="'","",INDEX(Index!$B7:$F7,1,MATCH(C5,Index!$B7:$F7,0)+4)),INDEX(Index!$B7:$F7,1,MATCH(C5,Index!$B7:$F7,0)+3)),INDEX(Index!$B7:$F7,1,MATCH(C5,Index!$B7:$F7,0)+2)),INDEX(Index!$B7:$F7,1,MATCH(C5,Index!$B7:$F7,0)+2)),INDEX(Index!$B7:$F7,1,MATCH(C5,Index!$B7:$F7,0)+1)))</f>
        <v/>
      </c>
      <c r="E5" t="str">
        <f>IF(D5="","",IF(INDEX(Index!$B7:$F7,1,MATCH(D5,Index!$B7:$F7,0)+1)="'",IF(INDEX(Index!D7:H7,1,MATCH(D5,Index!$B7:$F7,0)+2)="'",IF(INDEX(Index!$B7:$F7,1,MATCH(D5,Index!$B7:$F7,0)+2)="'",IF(INDEX(Index!$B7:$F7,1,MATCH(D5,Index!$B7:$F7,0)+3)="'",IF(INDEX(Index!$B7:$F7,1,MATCH(D5,Index!$B7:$F7,0)+4)="'","",INDEX(Index!$B7:$F7,1,MATCH(D5,Index!$B7:$F7,0)+4)),INDEX(Index!$B7:$F7,1,MATCH(D5,Index!$B7:$F7,0)+3)),INDEX(Index!$B7:$F7,1,MATCH(D5,Index!$B7:$F7,0)+2)),INDEX(Index!$B7:$F7,1,MATCH(D5,Index!$B7:$F7,0)+2)),INDEX(Index!$B7:$F7,1,MATCH(D5,Index!$B7:$F7,0)+1)))</f>
        <v/>
      </c>
      <c r="F5" t="str">
        <f>IF(E5="","",IF(INDEX(Index!$B7:$F7,1,MATCH(E5,Index!$B7:$F7,0)+1)="'",IF(INDEX(Index!E7:I7,1,MATCH(E5,Index!$B7:$F7,0)+2)="'",IF(INDEX(Index!$B7:$F7,1,MATCH(E5,Index!$B7:$F7,0)+2)="'",IF(INDEX(Index!$B7:$F7,1,MATCH(E5,Index!$B7:$F7,0)+3)="'",IF(INDEX(Index!$B7:$F7,1,MATCH(E5,Index!$B7:$F7,0)+4)="'","",INDEX(Index!$B7:$F7,1,MATCH(E5,Index!$B7:$F7,0)+4)),INDEX(Index!$B7:$F7,1,MATCH(E5,Index!$B7:$F7,0)+3)),INDEX(Index!$B7:$F7,1,MATCH(E5,Index!$B7:$F7,0)+2)),INDEX(Index!$B7:$F7,1,MATCH(E5,Index!$B7:$F7,0)+2)),INDEX(Index!$B7:$F7,1,MATCH(E5,Index!$B7:$F7,0)+1)))</f>
        <v/>
      </c>
    </row>
    <row r="6" spans="2:6" x14ac:dyDescent="0.25">
      <c r="B6" t="str">
        <f>IF(Index!$B8="","",IF(Index!$B8="'",IF(NOT(Index!$C8=""),IF(Index!$C8="'",IF(NOT(Index!$D8=""),IF(Index!$D8="'",IF(NOT(Index!$E8=""),IF(Index!$E8="'",IF(NOT(Index!$F8=""),IF(Index!$F8="'","",Index!$F8)),Index!$E8)),Index!$D8)),Index!$C8)),Index!$B8))</f>
        <v>E</v>
      </c>
      <c r="C6" t="str">
        <f>IF(B6="","",IF(INDEX(Index!$B8:$F8,1,MATCH(B6,Index!$B8:$F8,0)+1)="'",IF(INDEX(Index!B8:F8,1,MATCH(B6,Index!$B8:$F8,0)+2)="'",IF(INDEX(Index!$B8:$F8,1,MATCH(B6,Index!$B8:$F8,0)+2)="'",IF(INDEX(Index!$B8:$F8,1,MATCH(B6,Index!$B8:$F8,0)+3)="'",IF(INDEX(Index!$B8:$F8,1,MATCH(B6,Index!$B8:$F8,0)+4)="'","",INDEX(Index!$B8:$F8,1,MATCH(B6,Index!$B8:$F8,0)+4)),INDEX(Index!$B8:$F8,1,MATCH(B6,Index!$B8:$F8,0)+3)),INDEX(Index!$B8:$F8,1,MATCH(B6,Index!$B8:$F8,0)+2)),INDEX(Index!$B8:$F8,1,MATCH(B6,Index!$B8:$F8,0)+2)),INDEX(Index!$B8:$F8,1,MATCH(B6,Index!$B8:$F8,0)+1)))</f>
        <v>C</v>
      </c>
      <c r="D6" t="str">
        <f>IF(C6="","",IF(INDEX(Index!$B8:$F8,1,MATCH(C6,Index!$B8:$F8,0)+1)="'",IF(INDEX(Index!C8:G8,1,MATCH(C6,Index!$B8:$F8,0)+2)="'",IF(INDEX(Index!$B8:$F8,1,MATCH(C6,Index!$B8:$F8,0)+2)="'",IF(INDEX(Index!$B8:$F8,1,MATCH(C6,Index!$B8:$F8,0)+3)="'",IF(INDEX(Index!$B8:$F8,1,MATCH(C6,Index!$B8:$F8,0)+4)="'","",INDEX(Index!$B8:$F8,1,MATCH(C6,Index!$B8:$F8,0)+4)),INDEX(Index!$B8:$F8,1,MATCH(C6,Index!$B8:$F8,0)+3)),INDEX(Index!$B8:$F8,1,MATCH(C6,Index!$B8:$F8,0)+2)),INDEX(Index!$B8:$F8,1,MATCH(C6,Index!$B8:$F8,0)+2)),INDEX(Index!$B8:$F8,1,MATCH(C6,Index!$B8:$F8,0)+1)))</f>
        <v/>
      </c>
      <c r="E6" t="str">
        <f>IF(D6="","",IF(INDEX(Index!$B8:$F8,1,MATCH(D6,Index!$B8:$F8,0)+1)="'",IF(INDEX(Index!D8:H8,1,MATCH(D6,Index!$B8:$F8,0)+2)="'",IF(INDEX(Index!$B8:$F8,1,MATCH(D6,Index!$B8:$F8,0)+2)="'",IF(INDEX(Index!$B8:$F8,1,MATCH(D6,Index!$B8:$F8,0)+3)="'",IF(INDEX(Index!$B8:$F8,1,MATCH(D6,Index!$B8:$F8,0)+4)="'","",INDEX(Index!$B8:$F8,1,MATCH(D6,Index!$B8:$F8,0)+4)),INDEX(Index!$B8:$F8,1,MATCH(D6,Index!$B8:$F8,0)+3)),INDEX(Index!$B8:$F8,1,MATCH(D6,Index!$B8:$F8,0)+2)),INDEX(Index!$B8:$F8,1,MATCH(D6,Index!$B8:$F8,0)+2)),INDEX(Index!$B8:$F8,1,MATCH(D6,Index!$B8:$F8,0)+1)))</f>
        <v/>
      </c>
      <c r="F6" t="str">
        <f>IF(E6="","",IF(INDEX(Index!$B8:$F8,1,MATCH(E6,Index!$B8:$F8,0)+1)="'",IF(INDEX(Index!E8:I8,1,MATCH(E6,Index!$B8:$F8,0)+2)="'",IF(INDEX(Index!$B8:$F8,1,MATCH(E6,Index!$B8:$F8,0)+2)="'",IF(INDEX(Index!$B8:$F8,1,MATCH(E6,Index!$B8:$F8,0)+3)="'",IF(INDEX(Index!$B8:$F8,1,MATCH(E6,Index!$B8:$F8,0)+4)="'","",INDEX(Index!$B8:$F8,1,MATCH(E6,Index!$B8:$F8,0)+4)),INDEX(Index!$B8:$F8,1,MATCH(E6,Index!$B8:$F8,0)+3)),INDEX(Index!$B8:$F8,1,MATCH(E6,Index!$B8:$F8,0)+2)),INDEX(Index!$B8:$F8,1,MATCH(E6,Index!$B8:$F8,0)+2)),INDEX(Index!$B8:$F8,1,MATCH(E6,Index!$B8:$F8,0)+1)))</f>
        <v/>
      </c>
    </row>
    <row r="7" spans="2:6" x14ac:dyDescent="0.25">
      <c r="B7" t="str">
        <f>IF(Index!$B9="","",IF(Index!$B9="'",IF(NOT(Index!$C9=""),IF(Index!$C9="'",IF(NOT(Index!$D9=""),IF(Index!$D9="'",IF(NOT(Index!$E9=""),IF(Index!$E9="'",IF(NOT(Index!$F9=""),IF(Index!$F9="'","",Index!$F9)),Index!$E9)),Index!$D9)),Index!$C9)),Index!$B9))</f>
        <v xml:space="preserve">na ra na na </v>
      </c>
      <c r="C7" t="str">
        <f>IF(B7="","",IF(INDEX(Index!$B9:$F9,1,MATCH(B7,Index!$B9:$F9,0)+1)="'",IF(INDEX(Index!B9:F9,1,MATCH(B7,Index!$B9:$F9,0)+2)="'",IF(INDEX(Index!$B9:$F9,1,MATCH(B7,Index!$B9:$F9,0)+2)="'",IF(INDEX(Index!$B9:$F9,1,MATCH(B7,Index!$B9:$F9,0)+3)="'",IF(INDEX(Index!$B9:$F9,1,MATCH(B7,Index!$B9:$F9,0)+4)="'","",INDEX(Index!$B9:$F9,1,MATCH(B7,Index!$B9:$F9,0)+4)),INDEX(Index!$B9:$F9,1,MATCH(B7,Index!$B9:$F9,0)+3)),INDEX(Index!$B9:$F9,1,MATCH(B7,Index!$B9:$F9,0)+2)),INDEX(Index!$B9:$F9,1,MATCH(B7,Index!$B9:$F9,0)+2)),INDEX(Index!$B9:$F9,1,MATCH(B7,Index!$B9:$F9,0)+1)))</f>
        <v>every day</v>
      </c>
      <c r="D7" t="str">
        <f>IF(C7="","",IF(INDEX(Index!$B9:$F9,1,MATCH(C7,Index!$B9:$F9,0)+1)="'",IF(INDEX(Index!C9:G9,1,MATCH(C7,Index!$B9:$F9,0)+2)="'",IF(INDEX(Index!$B9:$F9,1,MATCH(C7,Index!$B9:$F9,0)+2)="'",IF(INDEX(Index!$B9:$F9,1,MATCH(C7,Index!$B9:$F9,0)+3)="'",IF(INDEX(Index!$B9:$F9,1,MATCH(C7,Index!$B9:$F9,0)+4)="'","",INDEX(Index!$B9:$F9,1,MATCH(C7,Index!$B9:$F9,0)+4)),INDEX(Index!$B9:$F9,1,MATCH(C7,Index!$B9:$F9,0)+3)),INDEX(Index!$B9:$F9,1,MATCH(C7,Index!$B9:$F9,0)+2)),INDEX(Index!$B9:$F9,1,MATCH(C7,Index!$B9:$F9,0)+2)),INDEX(Index!$B9:$F9,1,MATCH(C7,Index!$B9:$F9,0)+1)))</f>
        <v/>
      </c>
      <c r="E7" t="str">
        <f>IF(D7="","",IF(INDEX(Index!$B9:$F9,1,MATCH(D7,Index!$B9:$F9,0)+1)="'",IF(INDEX(Index!D9:H9,1,MATCH(D7,Index!$B9:$F9,0)+2)="'",IF(INDEX(Index!$B9:$F9,1,MATCH(D7,Index!$B9:$F9,0)+2)="'",IF(INDEX(Index!$B9:$F9,1,MATCH(D7,Index!$B9:$F9,0)+3)="'",IF(INDEX(Index!$B9:$F9,1,MATCH(D7,Index!$B9:$F9,0)+4)="'","",INDEX(Index!$B9:$F9,1,MATCH(D7,Index!$B9:$F9,0)+4)),INDEX(Index!$B9:$F9,1,MATCH(D7,Index!$B9:$F9,0)+3)),INDEX(Index!$B9:$F9,1,MATCH(D7,Index!$B9:$F9,0)+2)),INDEX(Index!$B9:$F9,1,MATCH(D7,Index!$B9:$F9,0)+2)),INDEX(Index!$B9:$F9,1,MATCH(D7,Index!$B9:$F9,0)+1)))</f>
        <v/>
      </c>
      <c r="F7" t="str">
        <f>IF(E7="","",IF(INDEX(Index!$B9:$F9,1,MATCH(E7,Index!$B9:$F9,0)+1)="'",IF(INDEX(Index!E9:I9,1,MATCH(E7,Index!$B9:$F9,0)+2)="'",IF(INDEX(Index!$B9:$F9,1,MATCH(E7,Index!$B9:$F9,0)+2)="'",IF(INDEX(Index!$B9:$F9,1,MATCH(E7,Index!$B9:$F9,0)+3)="'",IF(INDEX(Index!$B9:$F9,1,MATCH(E7,Index!$B9:$F9,0)+4)="'","",INDEX(Index!$B9:$F9,1,MATCH(E7,Index!$B9:$F9,0)+4)),INDEX(Index!$B9:$F9,1,MATCH(E7,Index!$B9:$F9,0)+3)),INDEX(Index!$B9:$F9,1,MATCH(E7,Index!$B9:$F9,0)+2)),INDEX(Index!$B9:$F9,1,MATCH(E7,Index!$B9:$F9,0)+2)),INDEX(Index!$B9:$F9,1,MATCH(E7,Index!$B9:$F9,0)+1)))</f>
        <v/>
      </c>
    </row>
    <row r="8" spans="2:6" x14ac:dyDescent="0.25">
      <c r="B8" t="str">
        <f>IF(Index!$B10="","",IF(Index!$B10="'",IF(NOT(Index!$C10=""),IF(Index!$C10="'",IF(NOT(Index!$D10=""),IF(Index!$D10="'",IF(NOT(Index!$E10=""),IF(Index!$E10="'",IF(NOT(Index!$F10=""),IF(Index!$F10="'","",Index!$F10)),Index!$E10)),Index!$D10)),Index!$C10)),Index!$B10))</f>
        <v>G</v>
      </c>
      <c r="C8" t="str">
        <f>IF(B8="","",IF(INDEX(Index!$B10:$F10,1,MATCH(B8,Index!$B10:$F10,0)+1)="'",IF(INDEX(Index!B10:F10,1,MATCH(B8,Index!$B10:$F10,0)+2)="'",IF(INDEX(Index!$B10:$F10,1,MATCH(B8,Index!$B10:$F10,0)+2)="'",IF(INDEX(Index!$B10:$F10,1,MATCH(B8,Index!$B10:$F10,0)+3)="'",IF(INDEX(Index!$B10:$F10,1,MATCH(B8,Index!$B10:$F10,0)+4)="'","",INDEX(Index!$B10:$F10,1,MATCH(B8,Index!$B10:$F10,0)+4)),INDEX(Index!$B10:$F10,1,MATCH(B8,Index!$B10:$F10,0)+3)),INDEX(Index!$B10:$F10,1,MATCH(B8,Index!$B10:$F10,0)+2)),INDEX(Index!$B10:$F10,1,MATCH(B8,Index!$B10:$F10,0)+2)),INDEX(Index!$B10:$F10,1,MATCH(B8,Index!$B10:$F10,0)+1)))</f>
        <v>D</v>
      </c>
      <c r="D8" t="str">
        <f>IF(C8="","",IF(INDEX(Index!$B10:$F10,1,MATCH(C8,Index!$B10:$F10,0)+1)="'",IF(INDEX(Index!C10:G10,1,MATCH(C8,Index!$B10:$F10,0)+2)="'",IF(INDEX(Index!$B10:$F10,1,MATCH(C8,Index!$B10:$F10,0)+2)="'",IF(INDEX(Index!$B10:$F10,1,MATCH(C8,Index!$B10:$F10,0)+3)="'",IF(INDEX(Index!$B10:$F10,1,MATCH(C8,Index!$B10:$F10,0)+4)="'","",INDEX(Index!$B10:$F10,1,MATCH(C8,Index!$B10:$F10,0)+4)),INDEX(Index!$B10:$F10,1,MATCH(C8,Index!$B10:$F10,0)+3)),INDEX(Index!$B10:$F10,1,MATCH(C8,Index!$B10:$F10,0)+2)),INDEX(Index!$B10:$F10,1,MATCH(C8,Index!$B10:$F10,0)+2)),INDEX(Index!$B10:$F10,1,MATCH(C8,Index!$B10:$F10,0)+1)))</f>
        <v/>
      </c>
      <c r="E8" t="str">
        <f>IF(D8="","",IF(INDEX(Index!$B10:$F10,1,MATCH(D8,Index!$B10:$F10,0)+1)="'",IF(INDEX(Index!D10:H10,1,MATCH(D8,Index!$B10:$F10,0)+2)="'",IF(INDEX(Index!$B10:$F10,1,MATCH(D8,Index!$B10:$F10,0)+2)="'",IF(INDEX(Index!$B10:$F10,1,MATCH(D8,Index!$B10:$F10,0)+3)="'",IF(INDEX(Index!$B10:$F10,1,MATCH(D8,Index!$B10:$F10,0)+4)="'","",INDEX(Index!$B10:$F10,1,MATCH(D8,Index!$B10:$F10,0)+4)),INDEX(Index!$B10:$F10,1,MATCH(D8,Index!$B10:$F10,0)+3)),INDEX(Index!$B10:$F10,1,MATCH(D8,Index!$B10:$F10,0)+2)),INDEX(Index!$B10:$F10,1,MATCH(D8,Index!$B10:$F10,0)+2)),INDEX(Index!$B10:$F10,1,MATCH(D8,Index!$B10:$F10,0)+1)))</f>
        <v/>
      </c>
      <c r="F8" t="str">
        <f>IF(E8="","",IF(INDEX(Index!$B10:$F10,1,MATCH(E8,Index!$B10:$F10,0)+1)="'",IF(INDEX(Index!E10:I10,1,MATCH(E8,Index!$B10:$F10,0)+2)="'",IF(INDEX(Index!$B10:$F10,1,MATCH(E8,Index!$B10:$F10,0)+2)="'",IF(INDEX(Index!$B10:$F10,1,MATCH(E8,Index!$B10:$F10,0)+3)="'",IF(INDEX(Index!$B10:$F10,1,MATCH(E8,Index!$B10:$F10,0)+4)="'","",INDEX(Index!$B10:$F10,1,MATCH(E8,Index!$B10:$F10,0)+4)),INDEX(Index!$B10:$F10,1,MATCH(E8,Index!$B10:$F10,0)+3)),INDEX(Index!$B10:$F10,1,MATCH(E8,Index!$B10:$F10,0)+2)),INDEX(Index!$B10:$F10,1,MATCH(E8,Index!$B10:$F10,0)+2)),INDEX(Index!$B10:$F10,1,MATCH(E8,Index!$B10:$F10,0)+1)))</f>
        <v/>
      </c>
    </row>
    <row r="9" spans="2:6" x14ac:dyDescent="0.25">
      <c r="B9" t="str">
        <f>IF(Index!$B11="","",IF(Index!$B11="'",IF(NOT(Index!$C11=""),IF(Index!$C11="'",IF(NOT(Index!$D11=""),IF(Index!$D11="'",IF(NOT(Index!$E11=""),IF(Index!$E11="'",IF(NOT(Index!$F11=""),IF(Index!$F11="'","",Index!$F11)),Index!$E11)),Index!$D11)),Index!$C11)),Index!$B11))</f>
        <v xml:space="preserve">Its like my ipod </v>
      </c>
      <c r="C9" t="str">
        <f>IF(B9="","",IF(INDEX(Index!$B11:$F11,1,MATCH(B9,Index!$B11:$F11,0)+1)="'",IF(INDEX(Index!B11:F11,1,MATCH(B9,Index!$B11:$F11,0)+2)="'",IF(INDEX(Index!$B11:$F11,1,MATCH(B9,Index!$B11:$F11,0)+2)="'",IF(INDEX(Index!$B11:$F11,1,MATCH(B9,Index!$B11:$F11,0)+3)="'",IF(INDEX(Index!$B11:$F11,1,MATCH(B9,Index!$B11:$F11,0)+4)="'","",INDEX(Index!$B11:$F11,1,MATCH(B9,Index!$B11:$F11,0)+4)),INDEX(Index!$B11:$F11,1,MATCH(B9,Index!$B11:$F11,0)+3)),INDEX(Index!$B11:$F11,1,MATCH(B9,Index!$B11:$F11,0)+2)),INDEX(Index!$B11:$F11,1,MATCH(B9,Index!$B11:$F11,0)+2)),INDEX(Index!$B11:$F11,1,MATCH(B9,Index!$B11:$F11,0)+1)))</f>
        <v>stuck-on replay</v>
      </c>
      <c r="D9" t="str">
        <f>IF(C9="","",IF(INDEX(Index!$B11:$F11,1,MATCH(C9,Index!$B11:$F11,0)+1)="'",IF(INDEX(Index!C11:G11,1,MATCH(C9,Index!$B11:$F11,0)+2)="'",IF(INDEX(Index!$B11:$F11,1,MATCH(C9,Index!$B11:$F11,0)+2)="'",IF(INDEX(Index!$B11:$F11,1,MATCH(C9,Index!$B11:$F11,0)+3)="'",IF(INDEX(Index!$B11:$F11,1,MATCH(C9,Index!$B11:$F11,0)+4)="'","",INDEX(Index!$B11:$F11,1,MATCH(C9,Index!$B11:$F11,0)+4)),INDEX(Index!$B11:$F11,1,MATCH(C9,Index!$B11:$F11,0)+3)),INDEX(Index!$B11:$F11,1,MATCH(C9,Index!$B11:$F11,0)+2)),INDEX(Index!$B11:$F11,1,MATCH(C9,Index!$B11:$F11,0)+2)),INDEX(Index!$B11:$F11,1,MATCH(C9,Index!$B11:$F11,0)+1)))</f>
        <v/>
      </c>
      <c r="E9" t="str">
        <f>IF(D9="","",IF(INDEX(Index!$B11:$F11,1,MATCH(D9,Index!$B11:$F11,0)+1)="'",IF(INDEX(Index!D11:H11,1,MATCH(D9,Index!$B11:$F11,0)+2)="'",IF(INDEX(Index!$B11:$F11,1,MATCH(D9,Index!$B11:$F11,0)+2)="'",IF(INDEX(Index!$B11:$F11,1,MATCH(D9,Index!$B11:$F11,0)+3)="'",IF(INDEX(Index!$B11:$F11,1,MATCH(D9,Index!$B11:$F11,0)+4)="'","",INDEX(Index!$B11:$F11,1,MATCH(D9,Index!$B11:$F11,0)+4)),INDEX(Index!$B11:$F11,1,MATCH(D9,Index!$B11:$F11,0)+3)),INDEX(Index!$B11:$F11,1,MATCH(D9,Index!$B11:$F11,0)+2)),INDEX(Index!$B11:$F11,1,MATCH(D9,Index!$B11:$F11,0)+2)),INDEX(Index!$B11:$F11,1,MATCH(D9,Index!$B11:$F11,0)+1)))</f>
        <v/>
      </c>
      <c r="F9" t="str">
        <f>IF(E9="","",IF(INDEX(Index!$B11:$F11,1,MATCH(E9,Index!$B11:$F11,0)+1)="'",IF(INDEX(Index!E11:I11,1,MATCH(E9,Index!$B11:$F11,0)+2)="'",IF(INDEX(Index!$B11:$F11,1,MATCH(E9,Index!$B11:$F11,0)+2)="'",IF(INDEX(Index!$B11:$F11,1,MATCH(E9,Index!$B11:$F11,0)+3)="'",IF(INDEX(Index!$B11:$F11,1,MATCH(E9,Index!$B11:$F11,0)+4)="'","",INDEX(Index!$B11:$F11,1,MATCH(E9,Index!$B11:$F11,0)+4)),INDEX(Index!$B11:$F11,1,MATCH(E9,Index!$B11:$F11,0)+3)),INDEX(Index!$B11:$F11,1,MATCH(E9,Index!$B11:$F11,0)+2)),INDEX(Index!$B11:$F11,1,MATCH(E9,Index!$B11:$F11,0)+2)),INDEX(Index!$B11:$F11,1,MATCH(E9,Index!$B11:$F11,0)+1)))</f>
        <v/>
      </c>
    </row>
    <row r="10" spans="2:6" x14ac:dyDescent="0.25">
      <c r="B10" t="str">
        <f>IF(Index!$B12="","",IF(Index!$B12="'",IF(NOT(Index!$C12=""),IF(Index!$C12="'",IF(NOT(Index!$D12=""),IF(Index!$D12="'",IF(NOT(Index!$E12=""),IF(Index!$E12="'",IF(NOT(Index!$F12=""),IF(Index!$F12="'","",Index!$F12)),Index!$E12)),Index!$D12)),Index!$C12)),Index!$B12))</f>
        <v/>
      </c>
      <c r="C10" t="str">
        <f>IF(B10="","",IF(INDEX(Index!$B12:$F12,1,MATCH(B10,Index!$B12:$F12,0)+1)="'",IF(INDEX(Index!B12:F12,1,MATCH(B10,Index!$B12:$F12,0)+2)="'",IF(INDEX(Index!$B12:$F12,1,MATCH(B10,Index!$B12:$F12,0)+2)="'",IF(INDEX(Index!$B12:$F12,1,MATCH(B10,Index!$B12:$F12,0)+3)="'",IF(INDEX(Index!$B12:$F12,1,MATCH(B10,Index!$B12:$F12,0)+4)="'","",INDEX(Index!$B12:$F12,1,MATCH(B10,Index!$B12:$F12,0)+4)),INDEX(Index!$B12:$F12,1,MATCH(B10,Index!$B12:$F12,0)+3)),INDEX(Index!$B12:$F12,1,MATCH(B10,Index!$B12:$F12,0)+2)),INDEX(Index!$B12:$F12,1,MATCH(B10,Index!$B12:$F12,0)+2)),INDEX(Index!$B12:$F12,1,MATCH(B10,Index!$B12:$F12,0)+1)))</f>
        <v/>
      </c>
      <c r="D10" t="str">
        <f>IF(C10="","",IF(INDEX(Index!$B12:$F12,1,MATCH(C10,Index!$B12:$F12,0)+1)="'",IF(INDEX(Index!C12:G12,1,MATCH(C10,Index!$B12:$F12,0)+2)="'",IF(INDEX(Index!$B12:$F12,1,MATCH(C10,Index!$B12:$F12,0)+2)="'",IF(INDEX(Index!$B12:$F12,1,MATCH(C10,Index!$B12:$F12,0)+3)="'",IF(INDEX(Index!$B12:$F12,1,MATCH(C10,Index!$B12:$F12,0)+4)="'","",INDEX(Index!$B12:$F12,1,MATCH(C10,Index!$B12:$F12,0)+4)),INDEX(Index!$B12:$F12,1,MATCH(C10,Index!$B12:$F12,0)+3)),INDEX(Index!$B12:$F12,1,MATCH(C10,Index!$B12:$F12,0)+2)),INDEX(Index!$B12:$F12,1,MATCH(C10,Index!$B12:$F12,0)+2)),INDEX(Index!$B12:$F12,1,MATCH(C10,Index!$B12:$F12,0)+1)))</f>
        <v/>
      </c>
      <c r="E10" t="str">
        <f>IF(D10="","",IF(INDEX(Index!$B12:$F12,1,MATCH(D10,Index!$B12:$F12,0)+1)="'",IF(INDEX(Index!D12:H12,1,MATCH(D10,Index!$B12:$F12,0)+2)="'",IF(INDEX(Index!$B12:$F12,1,MATCH(D10,Index!$B12:$F12,0)+2)="'",IF(INDEX(Index!$B12:$F12,1,MATCH(D10,Index!$B12:$F12,0)+3)="'",IF(INDEX(Index!$B12:$F12,1,MATCH(D10,Index!$B12:$F12,0)+4)="'","",INDEX(Index!$B12:$F12,1,MATCH(D10,Index!$B12:$F12,0)+4)),INDEX(Index!$B12:$F12,1,MATCH(D10,Index!$B12:$F12,0)+3)),INDEX(Index!$B12:$F12,1,MATCH(D10,Index!$B12:$F12,0)+2)),INDEX(Index!$B12:$F12,1,MATCH(D10,Index!$B12:$F12,0)+2)),INDEX(Index!$B12:$F12,1,MATCH(D10,Index!$B12:$F12,0)+1)))</f>
        <v/>
      </c>
      <c r="F10" t="str">
        <f>IF(E10="","",IF(INDEX(Index!$B12:$F12,1,MATCH(E10,Index!$B12:$F12,0)+1)="'",IF(INDEX(Index!E12:I12,1,MATCH(E10,Index!$B12:$F12,0)+2)="'",IF(INDEX(Index!$B12:$F12,1,MATCH(E10,Index!$B12:$F12,0)+2)="'",IF(INDEX(Index!$B12:$F12,1,MATCH(E10,Index!$B12:$F12,0)+3)="'",IF(INDEX(Index!$B12:$F12,1,MATCH(E10,Index!$B12:$F12,0)+4)="'","",INDEX(Index!$B12:$F12,1,MATCH(E10,Index!$B12:$F12,0)+4)),INDEX(Index!$B12:$F12,1,MATCH(E10,Index!$B12:$F12,0)+3)),INDEX(Index!$B12:$F12,1,MATCH(E10,Index!$B12:$F12,0)+2)),INDEX(Index!$B12:$F12,1,MATCH(E10,Index!$B12:$F12,0)+2)),INDEX(Index!$B12:$F12,1,MATCH(E10,Index!$B12:$F12,0)+1)))</f>
        <v/>
      </c>
    </row>
    <row r="11" spans="2:6" x14ac:dyDescent="0.25">
      <c r="B11" t="str">
        <f>IF(Index!$B13="","",IF(Index!$B13="'",IF(NOT(Index!$C13=""),IF(Index!$C13="'",IF(NOT(Index!$D13=""),IF(Index!$D13="'",IF(NOT(Index!$E13=""),IF(Index!$E13="'",IF(NOT(Index!$F13=""),IF(Index!$F13="'","",Index!$F13)),Index!$E13)),Index!$D13)),Index!$C13)),Index!$B13))</f>
        <v/>
      </c>
      <c r="C11" t="str">
        <f>IF(B11="","",IF(INDEX(Index!$B13:$F13,1,MATCH(B11,Index!$B13:$F13,0)+1)="'",IF(INDEX(Index!B13:F13,1,MATCH(B11,Index!$B13:$F13,0)+2)="'",IF(INDEX(Index!$B13:$F13,1,MATCH(B11,Index!$B13:$F13,0)+2)="'",IF(INDEX(Index!$B13:$F13,1,MATCH(B11,Index!$B13:$F13,0)+3)="'",IF(INDEX(Index!$B13:$F13,1,MATCH(B11,Index!$B13:$F13,0)+4)="'","",INDEX(Index!$B13:$F13,1,MATCH(B11,Index!$B13:$F13,0)+4)),INDEX(Index!$B13:$F13,1,MATCH(B11,Index!$B13:$F13,0)+3)),INDEX(Index!$B13:$F13,1,MATCH(B11,Index!$B13:$F13,0)+2)),INDEX(Index!$B13:$F13,1,MATCH(B11,Index!$B13:$F13,0)+2)),INDEX(Index!$B13:$F13,1,MATCH(B11,Index!$B13:$F13,0)+1)))</f>
        <v/>
      </c>
      <c r="D11" t="str">
        <f>IF(C11="","",IF(INDEX(Index!$B13:$F13,1,MATCH(C11,Index!$B13:$F13,0)+1)="'",IF(INDEX(Index!C13:G13,1,MATCH(C11,Index!$B13:$F13,0)+2)="'",IF(INDEX(Index!$B13:$F13,1,MATCH(C11,Index!$B13:$F13,0)+2)="'",IF(INDEX(Index!$B13:$F13,1,MATCH(C11,Index!$B13:$F13,0)+3)="'",IF(INDEX(Index!$B13:$F13,1,MATCH(C11,Index!$B13:$F13,0)+4)="'","",INDEX(Index!$B13:$F13,1,MATCH(C11,Index!$B13:$F13,0)+4)),INDEX(Index!$B13:$F13,1,MATCH(C11,Index!$B13:$F13,0)+3)),INDEX(Index!$B13:$F13,1,MATCH(C11,Index!$B13:$F13,0)+2)),INDEX(Index!$B13:$F13,1,MATCH(C11,Index!$B13:$F13,0)+2)),INDEX(Index!$B13:$F13,1,MATCH(C11,Index!$B13:$F13,0)+1)))</f>
        <v/>
      </c>
      <c r="E11" t="str">
        <f>IF(D11="","",IF(INDEX(Index!$B13:$F13,1,MATCH(D11,Index!$B13:$F13,0)+1)="'",IF(INDEX(Index!D13:H13,1,MATCH(D11,Index!$B13:$F13,0)+2)="'",IF(INDEX(Index!$B13:$F13,1,MATCH(D11,Index!$B13:$F13,0)+2)="'",IF(INDEX(Index!$B13:$F13,1,MATCH(D11,Index!$B13:$F13,0)+3)="'",IF(INDEX(Index!$B13:$F13,1,MATCH(D11,Index!$B13:$F13,0)+4)="'","",INDEX(Index!$B13:$F13,1,MATCH(D11,Index!$B13:$F13,0)+4)),INDEX(Index!$B13:$F13,1,MATCH(D11,Index!$B13:$F13,0)+3)),INDEX(Index!$B13:$F13,1,MATCH(D11,Index!$B13:$F13,0)+2)),INDEX(Index!$B13:$F13,1,MATCH(D11,Index!$B13:$F13,0)+2)),INDEX(Index!$B13:$F13,1,MATCH(D11,Index!$B13:$F13,0)+1)))</f>
        <v/>
      </c>
      <c r="F11" t="str">
        <f>IF(E11="","",IF(INDEX(Index!$B13:$F13,1,MATCH(E11,Index!$B13:$F13,0)+1)="'",IF(INDEX(Index!E13:I13,1,MATCH(E11,Index!$B13:$F13,0)+2)="'",IF(INDEX(Index!$B13:$F13,1,MATCH(E11,Index!$B13:$F13,0)+2)="'",IF(INDEX(Index!$B13:$F13,1,MATCH(E11,Index!$B13:$F13,0)+3)="'",IF(INDEX(Index!$B13:$F13,1,MATCH(E11,Index!$B13:$F13,0)+4)="'","",INDEX(Index!$B13:$F13,1,MATCH(E11,Index!$B13:$F13,0)+4)),INDEX(Index!$B13:$F13,1,MATCH(E11,Index!$B13:$F13,0)+3)),INDEX(Index!$B13:$F13,1,MATCH(E11,Index!$B13:$F13,0)+2)),INDEX(Index!$B13:$F13,1,MATCH(E11,Index!$B13:$F13,0)+2)),INDEX(Index!$B13:$F13,1,MATCH(E11,Index!$B13:$F13,0)+1)))</f>
        <v/>
      </c>
    </row>
    <row r="12" spans="2:6" x14ac:dyDescent="0.25">
      <c r="B12" t="str">
        <f>IF(Index!$B14="","",IF(Index!$B14="'",IF(NOT(Index!$C14=""),IF(Index!$C14="'",IF(NOT(Index!$D14=""),IF(Index!$D14="'",IF(NOT(Index!$E14=""),IF(Index!$E14="'",IF(NOT(Index!$F14=""),IF(Index!$F14="'","",Index!$F14)),Index!$E14)),Index!$D14)),Index!$C14)),Index!$B14))</f>
        <v/>
      </c>
      <c r="C12" t="str">
        <f>IF(B12="","",IF(INDEX(Index!$B14:$F14,1,MATCH(B12,Index!$B14:$F14,0)+1)="'",IF(INDEX(Index!B14:F14,1,MATCH(B12,Index!$B14:$F14,0)+2)="'",IF(INDEX(Index!$B14:$F14,1,MATCH(B12,Index!$B14:$F14,0)+2)="'",IF(INDEX(Index!$B14:$F14,1,MATCH(B12,Index!$B14:$F14,0)+3)="'",IF(INDEX(Index!$B14:$F14,1,MATCH(B12,Index!$B14:$F14,0)+4)="'","",INDEX(Index!$B14:$F14,1,MATCH(B12,Index!$B14:$F14,0)+4)),INDEX(Index!$B14:$F14,1,MATCH(B12,Index!$B14:$F14,0)+3)),INDEX(Index!$B14:$F14,1,MATCH(B12,Index!$B14:$F14,0)+2)),INDEX(Index!$B14:$F14,1,MATCH(B12,Index!$B14:$F14,0)+2)),INDEX(Index!$B14:$F14,1,MATCH(B12,Index!$B14:$F14,0)+1)))</f>
        <v/>
      </c>
      <c r="D12" t="str">
        <f>IF(C12="","",IF(INDEX(Index!$B14:$F14,1,MATCH(C12,Index!$B14:$F14,0)+1)="'",IF(INDEX(Index!C14:G14,1,MATCH(C12,Index!$B14:$F14,0)+2)="'",IF(INDEX(Index!$B14:$F14,1,MATCH(C12,Index!$B14:$F14,0)+2)="'",IF(INDEX(Index!$B14:$F14,1,MATCH(C12,Index!$B14:$F14,0)+3)="'",IF(INDEX(Index!$B14:$F14,1,MATCH(C12,Index!$B14:$F14,0)+4)="'","",INDEX(Index!$B14:$F14,1,MATCH(C12,Index!$B14:$F14,0)+4)),INDEX(Index!$B14:$F14,1,MATCH(C12,Index!$B14:$F14,0)+3)),INDEX(Index!$B14:$F14,1,MATCH(C12,Index!$B14:$F14,0)+2)),INDEX(Index!$B14:$F14,1,MATCH(C12,Index!$B14:$F14,0)+2)),INDEX(Index!$B14:$F14,1,MATCH(C12,Index!$B14:$F14,0)+1)))</f>
        <v/>
      </c>
      <c r="E12" t="str">
        <f>IF(D12="","",IF(INDEX(Index!$B14:$F14,1,MATCH(D12,Index!$B14:$F14,0)+1)="'",IF(INDEX(Index!D14:H14,1,MATCH(D12,Index!$B14:$F14,0)+2)="'",IF(INDEX(Index!$B14:$F14,1,MATCH(D12,Index!$B14:$F14,0)+2)="'",IF(INDEX(Index!$B14:$F14,1,MATCH(D12,Index!$B14:$F14,0)+3)="'",IF(INDEX(Index!$B14:$F14,1,MATCH(D12,Index!$B14:$F14,0)+4)="'","",INDEX(Index!$B14:$F14,1,MATCH(D12,Index!$B14:$F14,0)+4)),INDEX(Index!$B14:$F14,1,MATCH(D12,Index!$B14:$F14,0)+3)),INDEX(Index!$B14:$F14,1,MATCH(D12,Index!$B14:$F14,0)+2)),INDEX(Index!$B14:$F14,1,MATCH(D12,Index!$B14:$F14,0)+2)),INDEX(Index!$B14:$F14,1,MATCH(D12,Index!$B14:$F14,0)+1)))</f>
        <v/>
      </c>
      <c r="F12" t="str">
        <f>IF(E12="","",IF(INDEX(Index!$B14:$F14,1,MATCH(E12,Index!$B14:$F14,0)+1)="'",IF(INDEX(Index!E14:I14,1,MATCH(E12,Index!$B14:$F14,0)+2)="'",IF(INDEX(Index!$B14:$F14,1,MATCH(E12,Index!$B14:$F14,0)+2)="'",IF(INDEX(Index!$B14:$F14,1,MATCH(E12,Index!$B14:$F14,0)+3)="'",IF(INDEX(Index!$B14:$F14,1,MATCH(E12,Index!$B14:$F14,0)+4)="'","",INDEX(Index!$B14:$F14,1,MATCH(E12,Index!$B14:$F14,0)+4)),INDEX(Index!$B14:$F14,1,MATCH(E12,Index!$B14:$F14,0)+3)),INDEX(Index!$B14:$F14,1,MATCH(E12,Index!$B14:$F14,0)+2)),INDEX(Index!$B14:$F14,1,MATCH(E12,Index!$B14:$F14,0)+2)),INDEX(Index!$B14:$F14,1,MATCH(E12,Index!$B14:$F14,0)+1)))</f>
        <v/>
      </c>
    </row>
    <row r="13" spans="2:6" x14ac:dyDescent="0.25">
      <c r="B13" t="str">
        <f>IF(Index!$B15="","",IF(Index!$B15="'",IF(NOT(Index!$C15=""),IF(Index!$C15="'",IF(NOT(Index!$D15=""),IF(Index!$D15="'",IF(NOT(Index!$E15=""),IF(Index!$E15="'",IF(NOT(Index!$F15=""),IF(Index!$F15="'","",Index!$F15)),Index!$E15)),Index!$D15)),Index!$C15)),Index!$B15))</f>
        <v/>
      </c>
      <c r="C13" t="str">
        <f>IF(B13="","",IF(INDEX(Index!$B15:$F15,1,MATCH(B13,Index!$B15:$F15,0)+1)="'",IF(INDEX(Index!B15:F15,1,MATCH(B13,Index!$B15:$F15,0)+2)="'",IF(INDEX(Index!$B15:$F15,1,MATCH(B13,Index!$B15:$F15,0)+2)="'",IF(INDEX(Index!$B15:$F15,1,MATCH(B13,Index!$B15:$F15,0)+3)="'",IF(INDEX(Index!$B15:$F15,1,MATCH(B13,Index!$B15:$F15,0)+4)="'","",INDEX(Index!$B15:$F15,1,MATCH(B13,Index!$B15:$F15,0)+4)),INDEX(Index!$B15:$F15,1,MATCH(B13,Index!$B15:$F15,0)+3)),INDEX(Index!$B15:$F15,1,MATCH(B13,Index!$B15:$F15,0)+2)),INDEX(Index!$B15:$F15,1,MATCH(B13,Index!$B15:$F15,0)+2)),INDEX(Index!$B15:$F15,1,MATCH(B13,Index!$B15:$F15,0)+1)))</f>
        <v/>
      </c>
      <c r="D13" t="str">
        <f>IF(C13="","",IF(INDEX(Index!$B15:$F15,1,MATCH(C13,Index!$B15:$F15,0)+1)="'",IF(INDEX(Index!C15:G15,1,MATCH(C13,Index!$B15:$F15,0)+2)="'",IF(INDEX(Index!$B15:$F15,1,MATCH(C13,Index!$B15:$F15,0)+2)="'",IF(INDEX(Index!$B15:$F15,1,MATCH(C13,Index!$B15:$F15,0)+3)="'",IF(INDEX(Index!$B15:$F15,1,MATCH(C13,Index!$B15:$F15,0)+4)="'","",INDEX(Index!$B15:$F15,1,MATCH(C13,Index!$B15:$F15,0)+4)),INDEX(Index!$B15:$F15,1,MATCH(C13,Index!$B15:$F15,0)+3)),INDEX(Index!$B15:$F15,1,MATCH(C13,Index!$B15:$F15,0)+2)),INDEX(Index!$B15:$F15,1,MATCH(C13,Index!$B15:$F15,0)+2)),INDEX(Index!$B15:$F15,1,MATCH(C13,Index!$B15:$F15,0)+1)))</f>
        <v/>
      </c>
      <c r="E13" t="str">
        <f>IF(D13="","",IF(INDEX(Index!$B15:$F15,1,MATCH(D13,Index!$B15:$F15,0)+1)="'",IF(INDEX(Index!D15:H15,1,MATCH(D13,Index!$B15:$F15,0)+2)="'",IF(INDEX(Index!$B15:$F15,1,MATCH(D13,Index!$B15:$F15,0)+2)="'",IF(INDEX(Index!$B15:$F15,1,MATCH(D13,Index!$B15:$F15,0)+3)="'",IF(INDEX(Index!$B15:$F15,1,MATCH(D13,Index!$B15:$F15,0)+4)="'","",INDEX(Index!$B15:$F15,1,MATCH(D13,Index!$B15:$F15,0)+4)),INDEX(Index!$B15:$F15,1,MATCH(D13,Index!$B15:$F15,0)+3)),INDEX(Index!$B15:$F15,1,MATCH(D13,Index!$B15:$F15,0)+2)),INDEX(Index!$B15:$F15,1,MATCH(D13,Index!$B15:$F15,0)+2)),INDEX(Index!$B15:$F15,1,MATCH(D13,Index!$B15:$F15,0)+1)))</f>
        <v/>
      </c>
      <c r="F13" t="str">
        <f>IF(E13="","",IF(INDEX(Index!$B15:$F15,1,MATCH(E13,Index!$B15:$F15,0)+1)="'",IF(INDEX(Index!E15:I15,1,MATCH(E13,Index!$B15:$F15,0)+2)="'",IF(INDEX(Index!$B15:$F15,1,MATCH(E13,Index!$B15:$F15,0)+2)="'",IF(INDEX(Index!$B15:$F15,1,MATCH(E13,Index!$B15:$F15,0)+3)="'",IF(INDEX(Index!$B15:$F15,1,MATCH(E13,Index!$B15:$F15,0)+4)="'","",INDEX(Index!$B15:$F15,1,MATCH(E13,Index!$B15:$F15,0)+4)),INDEX(Index!$B15:$F15,1,MATCH(E13,Index!$B15:$F15,0)+3)),INDEX(Index!$B15:$F15,1,MATCH(E13,Index!$B15:$F15,0)+2)),INDEX(Index!$B15:$F15,1,MATCH(E13,Index!$B15:$F15,0)+2)),INDEX(Index!$B15:$F15,1,MATCH(E13,Index!$B15:$F15,0)+1)))</f>
        <v/>
      </c>
    </row>
    <row r="14" spans="2:6" x14ac:dyDescent="0.25">
      <c r="B14" t="str">
        <f>IF(Index!$B16="","",IF(Index!$B16="'",IF(NOT(Index!$C16=""),IF(Index!$C16="'",IF(NOT(Index!$D16=""),IF(Index!$D16="'",IF(NOT(Index!$E16=""),IF(Index!$E16="'",IF(NOT(Index!$F16=""),IF(Index!$F16="'","",Index!$F16)),Index!$E16)),Index!$D16)),Index!$C16)),Index!$B16))</f>
        <v/>
      </c>
      <c r="C14" t="str">
        <f>IF(B14="","",IF(INDEX(Index!$B16:$F16,1,MATCH(B14,Index!$B16:$F16,0)+1)="'",IF(INDEX(Index!B16:F16,1,MATCH(B14,Index!$B16:$F16,0)+2)="'",IF(INDEX(Index!$B16:$F16,1,MATCH(B14,Index!$B16:$F16,0)+2)="'",IF(INDEX(Index!$B16:$F16,1,MATCH(B14,Index!$B16:$F16,0)+3)="'",IF(INDEX(Index!$B16:$F16,1,MATCH(B14,Index!$B16:$F16,0)+4)="'","",INDEX(Index!$B16:$F16,1,MATCH(B14,Index!$B16:$F16,0)+4)),INDEX(Index!$B16:$F16,1,MATCH(B14,Index!$B16:$F16,0)+3)),INDEX(Index!$B16:$F16,1,MATCH(B14,Index!$B16:$F16,0)+2)),INDEX(Index!$B16:$F16,1,MATCH(B14,Index!$B16:$F16,0)+2)),INDEX(Index!$B16:$F16,1,MATCH(B14,Index!$B16:$F16,0)+1)))</f>
        <v/>
      </c>
      <c r="D14" t="str">
        <f>IF(C14="","",IF(INDEX(Index!$B16:$F16,1,MATCH(C14,Index!$B16:$F16,0)+1)="'",IF(INDEX(Index!C16:G16,1,MATCH(C14,Index!$B16:$F16,0)+2)="'",IF(INDEX(Index!$B16:$F16,1,MATCH(C14,Index!$B16:$F16,0)+2)="'",IF(INDEX(Index!$B16:$F16,1,MATCH(C14,Index!$B16:$F16,0)+3)="'",IF(INDEX(Index!$B16:$F16,1,MATCH(C14,Index!$B16:$F16,0)+4)="'","",INDEX(Index!$B16:$F16,1,MATCH(C14,Index!$B16:$F16,0)+4)),INDEX(Index!$B16:$F16,1,MATCH(C14,Index!$B16:$F16,0)+3)),INDEX(Index!$B16:$F16,1,MATCH(C14,Index!$B16:$F16,0)+2)),INDEX(Index!$B16:$F16,1,MATCH(C14,Index!$B16:$F16,0)+2)),INDEX(Index!$B16:$F16,1,MATCH(C14,Index!$B16:$F16,0)+1)))</f>
        <v/>
      </c>
      <c r="E14" t="str">
        <f>IF(D14="","",IF(INDEX(Index!$B16:$F16,1,MATCH(D14,Index!$B16:$F16,0)+1)="'",IF(INDEX(Index!D16:H16,1,MATCH(D14,Index!$B16:$F16,0)+2)="'",IF(INDEX(Index!$B16:$F16,1,MATCH(D14,Index!$B16:$F16,0)+2)="'",IF(INDEX(Index!$B16:$F16,1,MATCH(D14,Index!$B16:$F16,0)+3)="'",IF(INDEX(Index!$B16:$F16,1,MATCH(D14,Index!$B16:$F16,0)+4)="'","",INDEX(Index!$B16:$F16,1,MATCH(D14,Index!$B16:$F16,0)+4)),INDEX(Index!$B16:$F16,1,MATCH(D14,Index!$B16:$F16,0)+3)),INDEX(Index!$B16:$F16,1,MATCH(D14,Index!$B16:$F16,0)+2)),INDEX(Index!$B16:$F16,1,MATCH(D14,Index!$B16:$F16,0)+2)),INDEX(Index!$B16:$F16,1,MATCH(D14,Index!$B16:$F16,0)+1)))</f>
        <v/>
      </c>
      <c r="F14" t="str">
        <f>IF(E14="","",IF(INDEX(Index!$B16:$F16,1,MATCH(E14,Index!$B16:$F16,0)+1)="'",IF(INDEX(Index!E16:I16,1,MATCH(E14,Index!$B16:$F16,0)+2)="'",IF(INDEX(Index!$B16:$F16,1,MATCH(E14,Index!$B16:$F16,0)+2)="'",IF(INDEX(Index!$B16:$F16,1,MATCH(E14,Index!$B16:$F16,0)+3)="'",IF(INDEX(Index!$B16:$F16,1,MATCH(E14,Index!$B16:$F16,0)+4)="'","",INDEX(Index!$B16:$F16,1,MATCH(E14,Index!$B16:$F16,0)+4)),INDEX(Index!$B16:$F16,1,MATCH(E14,Index!$B16:$F16,0)+3)),INDEX(Index!$B16:$F16,1,MATCH(E14,Index!$B16:$F16,0)+2)),INDEX(Index!$B16:$F16,1,MATCH(E14,Index!$B16:$F16,0)+2)),INDEX(Index!$B16:$F16,1,MATCH(E14,Index!$B16:$F16,0)+1)))</f>
        <v/>
      </c>
    </row>
    <row r="15" spans="2:6" x14ac:dyDescent="0.25">
      <c r="B15" t="str">
        <f>IF(Index!$B17="","",IF(Index!$B17="'",IF(NOT(Index!$C17=""),IF(Index!$C17="'",IF(NOT(Index!$D17=""),IF(Index!$D17="'",IF(NOT(Index!$E17=""),IF(Index!$E17="'",IF(NOT(Index!$F17=""),IF(Index!$F17="'","",Index!$F17)),Index!$E17)),Index!$D17)),Index!$C17)),Index!$B17))</f>
        <v/>
      </c>
      <c r="C15" t="str">
        <f>IF(B15="","",IF(INDEX(Index!$B17:$F17,1,MATCH(B15,Index!$B17:$F17,0)+1)="'",IF(INDEX(Index!B17:F17,1,MATCH(B15,Index!$B17:$F17,0)+2)="'",IF(INDEX(Index!$B17:$F17,1,MATCH(B15,Index!$B17:$F17,0)+2)="'",IF(INDEX(Index!$B17:$F17,1,MATCH(B15,Index!$B17:$F17,0)+3)="'",IF(INDEX(Index!$B17:$F17,1,MATCH(B15,Index!$B17:$F17,0)+4)="'","",INDEX(Index!$B17:$F17,1,MATCH(B15,Index!$B17:$F17,0)+4)),INDEX(Index!$B17:$F17,1,MATCH(B15,Index!$B17:$F17,0)+3)),INDEX(Index!$B17:$F17,1,MATCH(B15,Index!$B17:$F17,0)+2)),INDEX(Index!$B17:$F17,1,MATCH(B15,Index!$B17:$F17,0)+2)),INDEX(Index!$B17:$F17,1,MATCH(B15,Index!$B17:$F17,0)+1)))</f>
        <v/>
      </c>
      <c r="D15" t="str">
        <f>IF(C15="","",IF(INDEX(Index!$B17:$F17,1,MATCH(C15,Index!$B17:$F17,0)+1)="'",IF(INDEX(Index!C17:G17,1,MATCH(C15,Index!$B17:$F17,0)+2)="'",IF(INDEX(Index!$B17:$F17,1,MATCH(C15,Index!$B17:$F17,0)+2)="'",IF(INDEX(Index!$B17:$F17,1,MATCH(C15,Index!$B17:$F17,0)+3)="'",IF(INDEX(Index!$B17:$F17,1,MATCH(C15,Index!$B17:$F17,0)+4)="'","",INDEX(Index!$B17:$F17,1,MATCH(C15,Index!$B17:$F17,0)+4)),INDEX(Index!$B17:$F17,1,MATCH(C15,Index!$B17:$F17,0)+3)),INDEX(Index!$B17:$F17,1,MATCH(C15,Index!$B17:$F17,0)+2)),INDEX(Index!$B17:$F17,1,MATCH(C15,Index!$B17:$F17,0)+2)),INDEX(Index!$B17:$F17,1,MATCH(C15,Index!$B17:$F17,0)+1)))</f>
        <v/>
      </c>
      <c r="E15" t="str">
        <f>IF(D15="","",IF(INDEX(Index!$B17:$F17,1,MATCH(D15,Index!$B17:$F17,0)+1)="'",IF(INDEX(Index!D17:H17,1,MATCH(D15,Index!$B17:$F17,0)+2)="'",IF(INDEX(Index!$B17:$F17,1,MATCH(D15,Index!$B17:$F17,0)+2)="'",IF(INDEX(Index!$B17:$F17,1,MATCH(D15,Index!$B17:$F17,0)+3)="'",IF(INDEX(Index!$B17:$F17,1,MATCH(D15,Index!$B17:$F17,0)+4)="'","",INDEX(Index!$B17:$F17,1,MATCH(D15,Index!$B17:$F17,0)+4)),INDEX(Index!$B17:$F17,1,MATCH(D15,Index!$B17:$F17,0)+3)),INDEX(Index!$B17:$F17,1,MATCH(D15,Index!$B17:$F17,0)+2)),INDEX(Index!$B17:$F17,1,MATCH(D15,Index!$B17:$F17,0)+2)),INDEX(Index!$B17:$F17,1,MATCH(D15,Index!$B17:$F17,0)+1)))</f>
        <v/>
      </c>
      <c r="F15" t="str">
        <f>IF(E15="","",IF(INDEX(Index!$B17:$F17,1,MATCH(E15,Index!$B17:$F17,0)+1)="'",IF(INDEX(Index!E17:I17,1,MATCH(E15,Index!$B17:$F17,0)+2)="'",IF(INDEX(Index!$B17:$F17,1,MATCH(E15,Index!$B17:$F17,0)+2)="'",IF(INDEX(Index!$B17:$F17,1,MATCH(E15,Index!$B17:$F17,0)+3)="'",IF(INDEX(Index!$B17:$F17,1,MATCH(E15,Index!$B17:$F17,0)+4)="'","",INDEX(Index!$B17:$F17,1,MATCH(E15,Index!$B17:$F17,0)+4)),INDEX(Index!$B17:$F17,1,MATCH(E15,Index!$B17:$F17,0)+3)),INDEX(Index!$B17:$F17,1,MATCH(E15,Index!$B17:$F17,0)+2)),INDEX(Index!$B17:$F17,1,MATCH(E15,Index!$B17:$F17,0)+2)),INDEX(Index!$B17:$F17,1,MATCH(E15,Index!$B17:$F17,0)+1)))</f>
        <v/>
      </c>
    </row>
    <row r="16" spans="2:6" x14ac:dyDescent="0.25">
      <c r="B16" t="str">
        <f>IF(Index!$B18="","",IF(Index!$B18="'",IF(NOT(Index!$C18=""),IF(Index!$C18="'",IF(NOT(Index!$D18=""),IF(Index!$D18="'",IF(NOT(Index!$E18=""),IF(Index!$E18="'",IF(NOT(Index!$F18=""),IF(Index!$F18="'","",Index!$F18)),Index!$E18)),Index!$D18)),Index!$C18)),Index!$B18))</f>
        <v/>
      </c>
      <c r="C16" t="str">
        <f>IF(B16="","",IF(INDEX(Index!$B18:$F18,1,MATCH(B16,Index!$B18:$F18,0)+1)="'",IF(INDEX(Index!B18:F18,1,MATCH(B16,Index!$B18:$F18,0)+2)="'",IF(INDEX(Index!$B18:$F18,1,MATCH(B16,Index!$B18:$F18,0)+2)="'",IF(INDEX(Index!$B18:$F18,1,MATCH(B16,Index!$B18:$F18,0)+3)="'",IF(INDEX(Index!$B18:$F18,1,MATCH(B16,Index!$B18:$F18,0)+4)="'","",INDEX(Index!$B18:$F18,1,MATCH(B16,Index!$B18:$F18,0)+4)),INDEX(Index!$B18:$F18,1,MATCH(B16,Index!$B18:$F18,0)+3)),INDEX(Index!$B18:$F18,1,MATCH(B16,Index!$B18:$F18,0)+2)),INDEX(Index!$B18:$F18,1,MATCH(B16,Index!$B18:$F18,0)+2)),INDEX(Index!$B18:$F18,1,MATCH(B16,Index!$B18:$F18,0)+1)))</f>
        <v/>
      </c>
      <c r="D16" t="str">
        <f>IF(C16="","",IF(INDEX(Index!$B18:$F18,1,MATCH(C16,Index!$B18:$F18,0)+1)="'",IF(INDEX(Index!C18:G18,1,MATCH(C16,Index!$B18:$F18,0)+2)="'",IF(INDEX(Index!$B18:$F18,1,MATCH(C16,Index!$B18:$F18,0)+2)="'",IF(INDEX(Index!$B18:$F18,1,MATCH(C16,Index!$B18:$F18,0)+3)="'",IF(INDEX(Index!$B18:$F18,1,MATCH(C16,Index!$B18:$F18,0)+4)="'","",INDEX(Index!$B18:$F18,1,MATCH(C16,Index!$B18:$F18,0)+4)),INDEX(Index!$B18:$F18,1,MATCH(C16,Index!$B18:$F18,0)+3)),INDEX(Index!$B18:$F18,1,MATCH(C16,Index!$B18:$F18,0)+2)),INDEX(Index!$B18:$F18,1,MATCH(C16,Index!$B18:$F18,0)+2)),INDEX(Index!$B18:$F18,1,MATCH(C16,Index!$B18:$F18,0)+1)))</f>
        <v/>
      </c>
      <c r="E16" t="str">
        <f>IF(D16="","",IF(INDEX(Index!$B18:$F18,1,MATCH(D16,Index!$B18:$F18,0)+1)="'",IF(INDEX(Index!D18:H18,1,MATCH(D16,Index!$B18:$F18,0)+2)="'",IF(INDEX(Index!$B18:$F18,1,MATCH(D16,Index!$B18:$F18,0)+2)="'",IF(INDEX(Index!$B18:$F18,1,MATCH(D16,Index!$B18:$F18,0)+3)="'",IF(INDEX(Index!$B18:$F18,1,MATCH(D16,Index!$B18:$F18,0)+4)="'","",INDEX(Index!$B18:$F18,1,MATCH(D16,Index!$B18:$F18,0)+4)),INDEX(Index!$B18:$F18,1,MATCH(D16,Index!$B18:$F18,0)+3)),INDEX(Index!$B18:$F18,1,MATCH(D16,Index!$B18:$F18,0)+2)),INDEX(Index!$B18:$F18,1,MATCH(D16,Index!$B18:$F18,0)+2)),INDEX(Index!$B18:$F18,1,MATCH(D16,Index!$B18:$F18,0)+1)))</f>
        <v/>
      </c>
      <c r="F16" t="str">
        <f>IF(E16="","",IF(INDEX(Index!$B18:$F18,1,MATCH(E16,Index!$B18:$F18,0)+1)="'",IF(INDEX(Index!E18:I18,1,MATCH(E16,Index!$B18:$F18,0)+2)="'",IF(INDEX(Index!$B18:$F18,1,MATCH(E16,Index!$B18:$F18,0)+2)="'",IF(INDEX(Index!$B18:$F18,1,MATCH(E16,Index!$B18:$F18,0)+3)="'",IF(INDEX(Index!$B18:$F18,1,MATCH(E16,Index!$B18:$F18,0)+4)="'","",INDEX(Index!$B18:$F18,1,MATCH(E16,Index!$B18:$F18,0)+4)),INDEX(Index!$B18:$F18,1,MATCH(E16,Index!$B18:$F18,0)+3)),INDEX(Index!$B18:$F18,1,MATCH(E16,Index!$B18:$F18,0)+2)),INDEX(Index!$B18:$F18,1,MATCH(E16,Index!$B18:$F18,0)+2)),INDEX(Index!$B18:$F18,1,MATCH(E16,Index!$B18:$F18,0)+1)))</f>
        <v/>
      </c>
    </row>
    <row r="17" spans="2:6" x14ac:dyDescent="0.25">
      <c r="B17" t="str">
        <f>IF(Index!$B19="","",IF(Index!$B19="'",IF(NOT(Index!$C19=""),IF(Index!$C19="'",IF(NOT(Index!$D19=""),IF(Index!$D19="'",IF(NOT(Index!$E19=""),IF(Index!$E19="'",IF(NOT(Index!$F19=""),IF(Index!$F19="'","",Index!$F19)),Index!$E19)),Index!$D19)),Index!$C19)),Index!$B19))</f>
        <v/>
      </c>
      <c r="C17" t="str">
        <f>IF(B17="","",IF(INDEX(Index!$B19:$F19,1,MATCH(B17,Index!$B19:$F19,0)+1)="'",IF(INDEX(Index!B19:F19,1,MATCH(B17,Index!$B19:$F19,0)+2)="'",IF(INDEX(Index!$B19:$F19,1,MATCH(B17,Index!$B19:$F19,0)+2)="'",IF(INDEX(Index!$B19:$F19,1,MATCH(B17,Index!$B19:$F19,0)+3)="'",IF(INDEX(Index!$B19:$F19,1,MATCH(B17,Index!$B19:$F19,0)+4)="'","",INDEX(Index!$B19:$F19,1,MATCH(B17,Index!$B19:$F19,0)+4)),INDEX(Index!$B19:$F19,1,MATCH(B17,Index!$B19:$F19,0)+3)),INDEX(Index!$B19:$F19,1,MATCH(B17,Index!$B19:$F19,0)+2)),INDEX(Index!$B19:$F19,1,MATCH(B17,Index!$B19:$F19,0)+2)),INDEX(Index!$B19:$F19,1,MATCH(B17,Index!$B19:$F19,0)+1)))</f>
        <v/>
      </c>
      <c r="D17" t="str">
        <f>IF(C17="","",IF(INDEX(Index!$B19:$F19,1,MATCH(C17,Index!$B19:$F19,0)+1)="'",IF(INDEX(Index!C19:G19,1,MATCH(C17,Index!$B19:$F19,0)+2)="'",IF(INDEX(Index!$B19:$F19,1,MATCH(C17,Index!$B19:$F19,0)+2)="'",IF(INDEX(Index!$B19:$F19,1,MATCH(C17,Index!$B19:$F19,0)+3)="'",IF(INDEX(Index!$B19:$F19,1,MATCH(C17,Index!$B19:$F19,0)+4)="'","",INDEX(Index!$B19:$F19,1,MATCH(C17,Index!$B19:$F19,0)+4)),INDEX(Index!$B19:$F19,1,MATCH(C17,Index!$B19:$F19,0)+3)),INDEX(Index!$B19:$F19,1,MATCH(C17,Index!$B19:$F19,0)+2)),INDEX(Index!$B19:$F19,1,MATCH(C17,Index!$B19:$F19,0)+2)),INDEX(Index!$B19:$F19,1,MATCH(C17,Index!$B19:$F19,0)+1)))</f>
        <v/>
      </c>
      <c r="E17" t="str">
        <f>IF(D17="","",IF(INDEX(Index!$B19:$F19,1,MATCH(D17,Index!$B19:$F19,0)+1)="'",IF(INDEX(Index!D19:H19,1,MATCH(D17,Index!$B19:$F19,0)+2)="'",IF(INDEX(Index!$B19:$F19,1,MATCH(D17,Index!$B19:$F19,0)+2)="'",IF(INDEX(Index!$B19:$F19,1,MATCH(D17,Index!$B19:$F19,0)+3)="'",IF(INDEX(Index!$B19:$F19,1,MATCH(D17,Index!$B19:$F19,0)+4)="'","",INDEX(Index!$B19:$F19,1,MATCH(D17,Index!$B19:$F19,0)+4)),INDEX(Index!$B19:$F19,1,MATCH(D17,Index!$B19:$F19,0)+3)),INDEX(Index!$B19:$F19,1,MATCH(D17,Index!$B19:$F19,0)+2)),INDEX(Index!$B19:$F19,1,MATCH(D17,Index!$B19:$F19,0)+2)),INDEX(Index!$B19:$F19,1,MATCH(D17,Index!$B19:$F19,0)+1)))</f>
        <v/>
      </c>
      <c r="F17" t="str">
        <f>IF(E17="","",IF(INDEX(Index!$B19:$F19,1,MATCH(E17,Index!$B19:$F19,0)+1)="'",IF(INDEX(Index!E19:I19,1,MATCH(E17,Index!$B19:$F19,0)+2)="'",IF(INDEX(Index!$B19:$F19,1,MATCH(E17,Index!$B19:$F19,0)+2)="'",IF(INDEX(Index!$B19:$F19,1,MATCH(E17,Index!$B19:$F19,0)+3)="'",IF(INDEX(Index!$B19:$F19,1,MATCH(E17,Index!$B19:$F19,0)+4)="'","",INDEX(Index!$B19:$F19,1,MATCH(E17,Index!$B19:$F19,0)+4)),INDEX(Index!$B19:$F19,1,MATCH(E17,Index!$B19:$F19,0)+3)),INDEX(Index!$B19:$F19,1,MATCH(E17,Index!$B19:$F19,0)+2)),INDEX(Index!$B19:$F19,1,MATCH(E17,Index!$B19:$F19,0)+2)),INDEX(Index!$B19:$F19,1,MATCH(E17,Index!$B19:$F19,0)+1)))</f>
        <v/>
      </c>
    </row>
    <row r="18" spans="2:6" x14ac:dyDescent="0.25">
      <c r="B18" t="str">
        <f>IF(Index!$B20="","",IF(Index!$B20="'",IF(NOT(Index!$C20=""),IF(Index!$C20="'",IF(NOT(Index!$D20=""),IF(Index!$D20="'",IF(NOT(Index!$E20=""),IF(Index!$E20="'",IF(NOT(Index!$F20=""),IF(Index!$F20="'","",Index!$F20)),Index!$E20)),Index!$D20)),Index!$C20)),Index!$B20))</f>
        <v/>
      </c>
      <c r="C18" t="str">
        <f>IF(B18="","",IF(INDEX(Index!$B20:$F20,1,MATCH(B18,Index!$B20:$F20,0)+1)="'",IF(INDEX(Index!B20:F20,1,MATCH(B18,Index!$B20:$F20,0)+2)="'",IF(INDEX(Index!$B20:$F20,1,MATCH(B18,Index!$B20:$F20,0)+2)="'",IF(INDEX(Index!$B20:$F20,1,MATCH(B18,Index!$B20:$F20,0)+3)="'",IF(INDEX(Index!$B20:$F20,1,MATCH(B18,Index!$B20:$F20,0)+4)="'","",INDEX(Index!$B20:$F20,1,MATCH(B18,Index!$B20:$F20,0)+4)),INDEX(Index!$B20:$F20,1,MATCH(B18,Index!$B20:$F20,0)+3)),INDEX(Index!$B20:$F20,1,MATCH(B18,Index!$B20:$F20,0)+2)),INDEX(Index!$B20:$F20,1,MATCH(B18,Index!$B20:$F20,0)+2)),INDEX(Index!$B20:$F20,1,MATCH(B18,Index!$B20:$F20,0)+1)))</f>
        <v/>
      </c>
      <c r="D18" t="str">
        <f>IF(C18="","",IF(INDEX(Index!$B20:$F20,1,MATCH(C18,Index!$B20:$F20,0)+1)="'",IF(INDEX(Index!C20:G20,1,MATCH(C18,Index!$B20:$F20,0)+2)="'",IF(INDEX(Index!$B20:$F20,1,MATCH(C18,Index!$B20:$F20,0)+2)="'",IF(INDEX(Index!$B20:$F20,1,MATCH(C18,Index!$B20:$F20,0)+3)="'",IF(INDEX(Index!$B20:$F20,1,MATCH(C18,Index!$B20:$F20,0)+4)="'","",INDEX(Index!$B20:$F20,1,MATCH(C18,Index!$B20:$F20,0)+4)),INDEX(Index!$B20:$F20,1,MATCH(C18,Index!$B20:$F20,0)+3)),INDEX(Index!$B20:$F20,1,MATCH(C18,Index!$B20:$F20,0)+2)),INDEX(Index!$B20:$F20,1,MATCH(C18,Index!$B20:$F20,0)+2)),INDEX(Index!$B20:$F20,1,MATCH(C18,Index!$B20:$F20,0)+1)))</f>
        <v/>
      </c>
      <c r="E18" t="str">
        <f>IF(D18="","",IF(INDEX(Index!$B20:$F20,1,MATCH(D18,Index!$B20:$F20,0)+1)="'",IF(INDEX(Index!D20:H20,1,MATCH(D18,Index!$B20:$F20,0)+2)="'",IF(INDEX(Index!$B20:$F20,1,MATCH(D18,Index!$B20:$F20,0)+2)="'",IF(INDEX(Index!$B20:$F20,1,MATCH(D18,Index!$B20:$F20,0)+3)="'",IF(INDEX(Index!$B20:$F20,1,MATCH(D18,Index!$B20:$F20,0)+4)="'","",INDEX(Index!$B20:$F20,1,MATCH(D18,Index!$B20:$F20,0)+4)),INDEX(Index!$B20:$F20,1,MATCH(D18,Index!$B20:$F20,0)+3)),INDEX(Index!$B20:$F20,1,MATCH(D18,Index!$B20:$F20,0)+2)),INDEX(Index!$B20:$F20,1,MATCH(D18,Index!$B20:$F20,0)+2)),INDEX(Index!$B20:$F20,1,MATCH(D18,Index!$B20:$F20,0)+1)))</f>
        <v/>
      </c>
      <c r="F18" t="str">
        <f>IF(E18="","",IF(INDEX(Index!$B20:$F20,1,MATCH(E18,Index!$B20:$F20,0)+1)="'",IF(INDEX(Index!E20:I20,1,MATCH(E18,Index!$B20:$F20,0)+2)="'",IF(INDEX(Index!$B20:$F20,1,MATCH(E18,Index!$B20:$F20,0)+2)="'",IF(INDEX(Index!$B20:$F20,1,MATCH(E18,Index!$B20:$F20,0)+3)="'",IF(INDEX(Index!$B20:$F20,1,MATCH(E18,Index!$B20:$F20,0)+4)="'","",INDEX(Index!$B20:$F20,1,MATCH(E18,Index!$B20:$F20,0)+4)),INDEX(Index!$B20:$F20,1,MATCH(E18,Index!$B20:$F20,0)+3)),INDEX(Index!$B20:$F20,1,MATCH(E18,Index!$B20:$F20,0)+2)),INDEX(Index!$B20:$F20,1,MATCH(E18,Index!$B20:$F20,0)+2)),INDEX(Index!$B20:$F20,1,MATCH(E18,Index!$B20:$F20,0)+1)))</f>
        <v/>
      </c>
    </row>
    <row r="1048573" spans="2:6" x14ac:dyDescent="0.25">
      <c r="F1048573">
        <f>MATCH(F1048574,B1048574:D1048574,0)</f>
        <v>1</v>
      </c>
    </row>
    <row r="1048574" spans="2:6" x14ac:dyDescent="0.25">
      <c r="B1048574" t="s">
        <v>109</v>
      </c>
      <c r="C1048574" t="s">
        <v>108</v>
      </c>
      <c r="D1048574" t="s">
        <v>109</v>
      </c>
      <c r="F1048574" t="str">
        <f>HLOOKUP(D1048574,B1048574:D1048576,1,FALSE)</f>
        <v>HOLA</v>
      </c>
    </row>
    <row r="1048575" spans="2:6" x14ac:dyDescent="0.25">
      <c r="B1048575" t="str">
        <f>IF(Index!C4="","TERMINO","CONTINUA")</f>
        <v>CONTINUA</v>
      </c>
      <c r="C1048575" t="s">
        <v>105</v>
      </c>
      <c r="D1048575" t="s">
        <v>104</v>
      </c>
    </row>
    <row r="1048576" spans="2:6" x14ac:dyDescent="0.25">
      <c r="C1048576" t="s">
        <v>106</v>
      </c>
      <c r="D1048576" t="s">
        <v>107</v>
      </c>
    </row>
  </sheetData>
  <mergeCells count="1">
    <mergeCell ref="B1:D1"/>
  </mergeCells>
  <pageMargins left="0.23622047244094491" right="0.23622047244094491" top="0.19685039370078741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>
    <tabColor rgb="FF6AFF5F"/>
  </sheetPr>
  <dimension ref="A2:N13"/>
  <sheetViews>
    <sheetView topLeftCell="A2" workbookViewId="0">
      <selection activeCell="I13" sqref="I13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4" x14ac:dyDescent="0.25">
      <c r="D2" s="2" t="s">
        <v>4</v>
      </c>
      <c r="E2" s="1">
        <v>4</v>
      </c>
    </row>
    <row r="3" spans="1:14" x14ac:dyDescent="0.25">
      <c r="K3" s="3" t="s">
        <v>5</v>
      </c>
      <c r="L3" s="4" t="s">
        <v>6</v>
      </c>
      <c r="M3" s="5" t="s">
        <v>7</v>
      </c>
      <c r="N3" s="6" t="s">
        <v>8</v>
      </c>
    </row>
    <row r="4" spans="1:14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29" t="s">
        <v>103</v>
      </c>
      <c r="K4" s="39" t="s">
        <v>25</v>
      </c>
      <c r="L4" s="39"/>
      <c r="M4" s="39"/>
      <c r="N4" s="39"/>
    </row>
    <row r="5" spans="1:14" ht="16.5" thickBot="1" x14ac:dyDescent="0.3">
      <c r="A5" s="15">
        <f>IF(B5=1,COUNTIF($B$5:B5,1),"")</f>
        <v>1</v>
      </c>
      <c r="B5" s="15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7"/>
      <c r="K5" s="38" t="s">
        <v>9</v>
      </c>
      <c r="L5" s="38"/>
      <c r="M5" s="41" t="s">
        <v>9</v>
      </c>
      <c r="N5" s="41"/>
    </row>
    <row r="6" spans="1:14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7"/>
      <c r="K6" s="40" t="s">
        <v>10</v>
      </c>
      <c r="L6" s="40"/>
      <c r="M6" s="40"/>
      <c r="N6" s="40"/>
    </row>
    <row r="7" spans="1:14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  <c r="I7" s="7"/>
    </row>
    <row r="8" spans="1:14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  <c r="I8" s="7"/>
    </row>
    <row r="9" spans="1:14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  <c r="I9" s="7"/>
    </row>
    <row r="10" spans="1:14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  <c r="I10" s="7"/>
    </row>
    <row r="11" spans="1:14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  <c r="I11" s="7"/>
    </row>
    <row r="12" spans="1:14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  <c r="I12" s="7"/>
    </row>
    <row r="13" spans="1:14" ht="15.75" x14ac:dyDescent="0.25">
      <c r="A13" s="15" t="str">
        <f>IF(B13=1,COUNTIF($B$5:B13,1),"")</f>
        <v/>
      </c>
      <c r="B13" s="15">
        <f>--ISNUMBER(IFERROR(SEARCH(Index!$C$2,C13,1),""))</f>
        <v>0</v>
      </c>
      <c r="C13" s="14" t="s">
        <v>45</v>
      </c>
      <c r="D13" s="14">
        <v>3</v>
      </c>
      <c r="E13" s="18" t="s">
        <v>49</v>
      </c>
      <c r="F13" s="14" t="s">
        <v>50</v>
      </c>
      <c r="G13" s="14">
        <v>1</v>
      </c>
      <c r="H13" s="14">
        <v>1</v>
      </c>
    </row>
  </sheetData>
  <mergeCells count="4">
    <mergeCell ref="K5:L5"/>
    <mergeCell ref="K4:N4"/>
    <mergeCell ref="K6:N6"/>
    <mergeCell ref="M5:N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>
    <tabColor rgb="FF81FFCF"/>
  </sheetPr>
  <dimension ref="A1:K73"/>
  <sheetViews>
    <sheetView workbookViewId="0">
      <selection activeCell="B2" sqref="B2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16" t="s">
        <v>47</v>
      </c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16" t="s">
        <v>48</v>
      </c>
      <c r="K1" s="9" t="s">
        <v>46</v>
      </c>
    </row>
    <row r="2" spans="1:11" x14ac:dyDescent="0.25">
      <c r="A2" s="12" t="str">
        <f>$F2&amp;$G2</f>
        <v>11</v>
      </c>
      <c r="B2" s="12" t="str">
        <f>INDEX(CANCIONES!C$5:C$100,SMALL('OPERACIONES DE FORMULAS'!$D$5:$D$35,ROW()-1)-4)</f>
        <v>Replay</v>
      </c>
      <c r="C2" s="12">
        <f>INDEX(CANCIONES!D$5:D$100,SMALL('OPERACIONES DE FORMULAS'!$D$5:$D$35,ROW()-1)-4)</f>
        <v>4</v>
      </c>
      <c r="D2" s="12" t="str">
        <f>INDEX(CANCIONES!E$5:E$100,SMALL('OPERACIONES DE FORMULAS'!$D$5:$D$35,ROW()-1)-4)</f>
        <v>Shawtys like a melo</v>
      </c>
      <c r="E2" s="12" t="str">
        <f>INDEX(CANCIONES!F$5:F$100,SMALL('OPERACIONES DE FORMULAS'!$D$5:$D$35,ROW()-1)-4)</f>
        <v>E</v>
      </c>
      <c r="F2" s="12">
        <f>INDEX(CANCIONES!G$5:G$100,SMALL('OPERACIONES DE FORMULAS'!$D$5:$D$35,ROW()-1)-4)</f>
        <v>1</v>
      </c>
      <c r="G2" s="12">
        <f>INDEX(CANCIONES!H$5:H$100,SMALL('OPERACIONES DE FORMULAS'!$D$5:$D$35,ROW()-1)-4)</f>
        <v>1</v>
      </c>
      <c r="H2" s="12">
        <f>ROW()-1</f>
        <v>1</v>
      </c>
      <c r="K2" s="7">
        <f>SMALL('OPERACIONES DE FORMULAS'!$D$5:$D$35,ROW()-1)</f>
        <v>5</v>
      </c>
    </row>
    <row r="3" spans="1:11" x14ac:dyDescent="0.25">
      <c r="A3" s="12" t="str">
        <f t="shared" ref="A3:A15" si="0">$F3&amp;$G3</f>
        <v>13</v>
      </c>
      <c r="B3" s="12" t="str">
        <f>INDEX(CANCIONES!C$5:C$100,SMALL('OPERACIONES DE FORMULAS'!$D$5:$D$35,ROW()-1)-4)</f>
        <v>Replay</v>
      </c>
      <c r="C3" s="12">
        <f>INDEX(CANCIONES!D$5:D$100,SMALL('OPERACIONES DE FORMULAS'!$D$5:$D$35,ROW()-1)-4)</f>
        <v>4</v>
      </c>
      <c r="D3" s="12" t="str">
        <f>INDEX(CANCIONES!E$5:E$100,SMALL('OPERACIONES DE FORMULAS'!$D$5:$D$35,ROW()-1)-4)</f>
        <v xml:space="preserve">dy in my </v>
      </c>
      <c r="E3" s="12" t="str">
        <f>INDEX(CANCIONES!F$5:F$100,SMALL('OPERACIONES DE FORMULAS'!$D$5:$D$35,ROW()-1)-4)</f>
        <v>C</v>
      </c>
      <c r="F3" s="12">
        <f>INDEX(CANCIONES!G$5:G$100,SMALL('OPERACIONES DE FORMULAS'!$D$5:$D$35,ROW()-1)-4)</f>
        <v>1</v>
      </c>
      <c r="G3" s="12">
        <f>INDEX(CANCIONES!H$5:H$100,SMALL('OPERACIONES DE FORMULAS'!$D$5:$D$35,ROW()-1)-4)</f>
        <v>3</v>
      </c>
      <c r="H3" s="12">
        <f t="shared" ref="H3:H22" si="1">ROW()-1</f>
        <v>2</v>
      </c>
      <c r="K3" s="7">
        <f>SMALL('OPERACIONES DE FORMULAS'!$D$5:$D$35,ROW()-1)</f>
        <v>6</v>
      </c>
    </row>
    <row r="4" spans="1:11" x14ac:dyDescent="0.25">
      <c r="A4" s="12" t="str">
        <f t="shared" si="0"/>
        <v>21</v>
      </c>
      <c r="B4" s="12" t="str">
        <f>INDEX(CANCIONES!C$5:C$100,SMALL('OPERACIONES DE FORMULAS'!$D$5:$D$35,ROW()-1)-4)</f>
        <v>Replay</v>
      </c>
      <c r="C4" s="12">
        <f>INDEX(CANCIONES!D$5:D$100,SMALL('OPERACIONES DE FORMULAS'!$D$5:$D$35,ROW()-1)-4)</f>
        <v>4</v>
      </c>
      <c r="D4" s="12" t="str">
        <f>INDEX(CANCIONES!E$5:E$100,SMALL('OPERACIONES DE FORMULAS'!$D$5:$D$35,ROW()-1)-4)</f>
        <v>head that i cant keep</v>
      </c>
      <c r="E4" s="12" t="str">
        <f>INDEX(CANCIONES!F$5:F$100,SMALL('OPERACIONES DE FORMULAS'!$D$5:$D$35,ROW()-1)-4)</f>
        <v>G</v>
      </c>
      <c r="F4" s="12">
        <f>INDEX(CANCIONES!G$5:G$100,SMALL('OPERACIONES DE FORMULAS'!$D$5:$D$35,ROW()-1)-4)</f>
        <v>2</v>
      </c>
      <c r="G4" s="12">
        <f>INDEX(CANCIONES!H$5:H$100,SMALL('OPERACIONES DE FORMULAS'!$D$5:$D$35,ROW()-1)-4)</f>
        <v>1</v>
      </c>
      <c r="H4" s="12">
        <f t="shared" si="1"/>
        <v>3</v>
      </c>
      <c r="K4" s="7">
        <f>SMALL('OPERACIONES DE FORMULAS'!$D$5:$D$35,ROW()-1)</f>
        <v>7</v>
      </c>
    </row>
    <row r="5" spans="1:11" x14ac:dyDescent="0.25">
      <c r="A5" s="12" t="str">
        <f t="shared" si="0"/>
        <v>23</v>
      </c>
      <c r="B5" s="12" t="str">
        <f>INDEX(CANCIONES!C$5:C$100,SMALL('OPERACIONES DE FORMULAS'!$D$5:$D$35,ROW()-1)-4)</f>
        <v>Replay</v>
      </c>
      <c r="C5" s="12">
        <f>INDEX(CANCIONES!D$5:D$100,SMALL('OPERACIONES DE FORMULAS'!$D$5:$D$35,ROW()-1)-4)</f>
        <v>4</v>
      </c>
      <c r="D5" s="12" t="str">
        <f>INDEX(CANCIONES!E$5:E$100,SMALL('OPERACIONES DE FORMULAS'!$D$5:$D$35,ROW()-1)-4)</f>
        <v>out got me singing like</v>
      </c>
      <c r="E5" s="12" t="str">
        <f>INDEX(CANCIONES!F$5:F$100,SMALL('OPERACIONES DE FORMULAS'!$D$5:$D$35,ROW()-1)-4)</f>
        <v>D</v>
      </c>
      <c r="F5" s="12">
        <f>INDEX(CANCIONES!G$5:G$100,SMALL('OPERACIONES DE FORMULAS'!$D$5:$D$35,ROW()-1)-4)</f>
        <v>2</v>
      </c>
      <c r="G5" s="12">
        <f>INDEX(CANCIONES!H$5:H$100,SMALL('OPERACIONES DE FORMULAS'!$D$5:$D$35,ROW()-1)-4)</f>
        <v>3</v>
      </c>
      <c r="H5" s="12">
        <f t="shared" si="1"/>
        <v>4</v>
      </c>
      <c r="K5" s="7">
        <f>SMALL('OPERACIONES DE FORMULAS'!$D$5:$D$35,ROW()-1)</f>
        <v>8</v>
      </c>
    </row>
    <row r="6" spans="1:11" x14ac:dyDescent="0.25">
      <c r="A6" s="12" t="str">
        <f t="shared" si="0"/>
        <v>31</v>
      </c>
      <c r="B6" s="12" t="str">
        <f>INDEX(CANCIONES!C$5:C$100,SMALL('OPERACIONES DE FORMULAS'!$D$5:$D$35,ROW()-1)-4)</f>
        <v>Replay</v>
      </c>
      <c r="C6" s="12">
        <f>INDEX(CANCIONES!D$5:D$100,SMALL('OPERACIONES DE FORMULAS'!$D$5:$D$35,ROW()-1)-4)</f>
        <v>4</v>
      </c>
      <c r="D6" s="12" t="str">
        <f>INDEX(CANCIONES!E$5:E$100,SMALL('OPERACIONES DE FORMULAS'!$D$5:$D$35,ROW()-1)-4)</f>
        <v xml:space="preserve">na ra na na </v>
      </c>
      <c r="E6" s="12" t="str">
        <f>INDEX(CANCIONES!F$5:F$100,SMALL('OPERACIONES DE FORMULAS'!$D$5:$D$35,ROW()-1)-4)</f>
        <v>E</v>
      </c>
      <c r="F6" s="12">
        <f>INDEX(CANCIONES!G$5:G$100,SMALL('OPERACIONES DE FORMULAS'!$D$5:$D$35,ROW()-1)-4)</f>
        <v>3</v>
      </c>
      <c r="G6" s="12">
        <f>INDEX(CANCIONES!H$5:H$100,SMALL('OPERACIONES DE FORMULAS'!$D$5:$D$35,ROW()-1)-4)</f>
        <v>1</v>
      </c>
      <c r="H6" s="12">
        <f t="shared" si="1"/>
        <v>5</v>
      </c>
      <c r="K6" s="7">
        <f>SMALL('OPERACIONES DE FORMULAS'!$D$5:$D$35,ROW()-1)</f>
        <v>9</v>
      </c>
    </row>
    <row r="7" spans="1:11" x14ac:dyDescent="0.25">
      <c r="A7" s="12" t="str">
        <f t="shared" si="0"/>
        <v>33</v>
      </c>
      <c r="B7" s="12" t="str">
        <f>INDEX(CANCIONES!C$5:C$100,SMALL('OPERACIONES DE FORMULAS'!$D$5:$D$35,ROW()-1)-4)</f>
        <v>Replay</v>
      </c>
      <c r="C7" s="12">
        <f>INDEX(CANCIONES!D$5:D$100,SMALL('OPERACIONES DE FORMULAS'!$D$5:$D$35,ROW()-1)-4)</f>
        <v>4</v>
      </c>
      <c r="D7" s="12" t="str">
        <f>INDEX(CANCIONES!E$5:E$100,SMALL('OPERACIONES DE FORMULAS'!$D$5:$D$35,ROW()-1)-4)</f>
        <v>every day</v>
      </c>
      <c r="E7" s="12" t="str">
        <f>INDEX(CANCIONES!F$5:F$100,SMALL('OPERACIONES DE FORMULAS'!$D$5:$D$35,ROW()-1)-4)</f>
        <v>C</v>
      </c>
      <c r="F7" s="12">
        <f>INDEX(CANCIONES!G$5:G$100,SMALL('OPERACIONES DE FORMULAS'!$D$5:$D$35,ROW()-1)-4)</f>
        <v>3</v>
      </c>
      <c r="G7" s="12">
        <f>INDEX(CANCIONES!H$5:H$100,SMALL('OPERACIONES DE FORMULAS'!$D$5:$D$35,ROW()-1)-4)</f>
        <v>3</v>
      </c>
      <c r="H7" s="12">
        <f t="shared" si="1"/>
        <v>6</v>
      </c>
      <c r="K7" s="7">
        <f>SMALL('OPERACIONES DE FORMULAS'!$D$5:$D$35,ROW()-1)</f>
        <v>10</v>
      </c>
    </row>
    <row r="8" spans="1:11" x14ac:dyDescent="0.25">
      <c r="A8" s="12" t="str">
        <f t="shared" si="0"/>
        <v>41</v>
      </c>
      <c r="B8" s="12" t="str">
        <f>INDEX(CANCIONES!C$5:C$100,SMALL('OPERACIONES DE FORMULAS'!$D$5:$D$35,ROW()-1)-4)</f>
        <v>Replay</v>
      </c>
      <c r="C8" s="12">
        <f>INDEX(CANCIONES!D$5:D$100,SMALL('OPERACIONES DE FORMULAS'!$D$5:$D$35,ROW()-1)-4)</f>
        <v>4</v>
      </c>
      <c r="D8" s="12" t="str">
        <f>INDEX(CANCIONES!E$5:E$100,SMALL('OPERACIONES DE FORMULAS'!$D$5:$D$35,ROW()-1)-4)</f>
        <v xml:space="preserve">Its like my ipod </v>
      </c>
      <c r="E8" s="12" t="str">
        <f>INDEX(CANCIONES!F$5:F$100,SMALL('OPERACIONES DE FORMULAS'!$D$5:$D$35,ROW()-1)-4)</f>
        <v>G</v>
      </c>
      <c r="F8" s="12">
        <f>INDEX(CANCIONES!G$5:G$100,SMALL('OPERACIONES DE FORMULAS'!$D$5:$D$35,ROW()-1)-4)</f>
        <v>4</v>
      </c>
      <c r="G8" s="12">
        <f>INDEX(CANCIONES!H$5:H$100,SMALL('OPERACIONES DE FORMULAS'!$D$5:$D$35,ROW()-1)-4)</f>
        <v>1</v>
      </c>
      <c r="H8" s="12">
        <f t="shared" si="1"/>
        <v>7</v>
      </c>
      <c r="K8" s="7">
        <f>SMALL('OPERACIONES DE FORMULAS'!$D$5:$D$35,ROW()-1)</f>
        <v>11</v>
      </c>
    </row>
    <row r="9" spans="1:11" x14ac:dyDescent="0.25">
      <c r="A9" s="12" t="str">
        <f t="shared" si="0"/>
        <v>43</v>
      </c>
      <c r="B9" s="12" t="str">
        <f>INDEX(CANCIONES!C$5:C$100,SMALL('OPERACIONES DE FORMULAS'!$D$5:$D$35,ROW()-1)-4)</f>
        <v>Replay</v>
      </c>
      <c r="C9" s="12">
        <f>INDEX(CANCIONES!D$5:D$100,SMALL('OPERACIONES DE FORMULAS'!$D$5:$D$35,ROW()-1)-4)</f>
        <v>4</v>
      </c>
      <c r="D9" s="12" t="str">
        <f>INDEX(CANCIONES!E$5:E$100,SMALL('OPERACIONES DE FORMULAS'!$D$5:$D$35,ROW()-1)-4)</f>
        <v>stuck-on replay</v>
      </c>
      <c r="E9" s="12" t="str">
        <f>INDEX(CANCIONES!F$5:F$100,SMALL('OPERACIONES DE FORMULAS'!$D$5:$D$35,ROW()-1)-4)</f>
        <v>D</v>
      </c>
      <c r="F9" s="12">
        <f>INDEX(CANCIONES!G$5:G$100,SMALL('OPERACIONES DE FORMULAS'!$D$5:$D$35,ROW()-1)-4)</f>
        <v>4</v>
      </c>
      <c r="G9" s="12">
        <f>INDEX(CANCIONES!H$5:H$100,SMALL('OPERACIONES DE FORMULAS'!$D$5:$D$35,ROW()-1)-4)</f>
        <v>3</v>
      </c>
      <c r="H9" s="12">
        <f t="shared" si="1"/>
        <v>8</v>
      </c>
      <c r="K9" s="7">
        <f>SMALL('OPERACIONES DE FORMULAS'!$D$5:$D$35,ROW()-1)</f>
        <v>12</v>
      </c>
    </row>
    <row r="10" spans="1:11" x14ac:dyDescent="0.25">
      <c r="A10" t="e">
        <f t="shared" si="0"/>
        <v>#NUM!</v>
      </c>
      <c r="B10" t="e">
        <f>INDEX(CANCIONES!C$5:C$100,SMALL('OPERACIONES DE FORMULAS'!$D$5:$D$35,ROW()-1)-4)</f>
        <v>#NUM!</v>
      </c>
      <c r="C10" t="e">
        <f>INDEX(CANCIONES!D$5:D$100,SMALL('OPERACIONES DE FORMULAS'!$D$5:$D$35,ROW()-1)-4)</f>
        <v>#NUM!</v>
      </c>
      <c r="D10" t="e">
        <f>INDEX(CANCIONES!E$5:E$100,SMALL('OPERACIONES DE FORMULAS'!$D$5:$D$35,ROW()-1)-4)</f>
        <v>#NUM!</v>
      </c>
      <c r="E10" t="e">
        <f>INDEX(CANCIONES!F$5:F$100,SMALL('OPERACIONES DE FORMULAS'!$D$5:$D$35,ROW()-1)-4)</f>
        <v>#NUM!</v>
      </c>
      <c r="F10" t="e">
        <f>INDEX(CANCIONES!G$5:G$100,SMALL('OPERACIONES DE FORMULAS'!$D$5:$D$35,ROW()-1)-4)</f>
        <v>#NUM!</v>
      </c>
      <c r="G10" t="e">
        <f>INDEX(CANCIONES!H$5:H$100,SMALL('OPERACIONES DE FORMULAS'!$D$5:$D$35,ROW()-1)-4)</f>
        <v>#NUM!</v>
      </c>
      <c r="H10" s="12">
        <f t="shared" si="1"/>
        <v>9</v>
      </c>
      <c r="K10" s="7" t="e">
        <f>SMALL('OPERACIONES DE FORMULAS'!$D$5:$D$35,ROW()-1)</f>
        <v>#NUM!</v>
      </c>
    </row>
    <row r="11" spans="1:11" x14ac:dyDescent="0.25">
      <c r="A11" t="e">
        <f t="shared" si="0"/>
        <v>#NUM!</v>
      </c>
      <c r="B11" t="e">
        <f>INDEX(CANCIONES!C$5:C$100,SMALL('OPERACIONES DE FORMULAS'!$D$5:$D$35,ROW()-1)-4)</f>
        <v>#NUM!</v>
      </c>
      <c r="C11" t="e">
        <f>INDEX(CANCIONES!D$5:D$100,SMALL('OPERACIONES DE FORMULAS'!$D$5:$D$35,ROW()-1)-4)</f>
        <v>#NUM!</v>
      </c>
      <c r="D11" t="e">
        <f>INDEX(CANCIONES!E$5:E$100,SMALL('OPERACIONES DE FORMULAS'!$D$5:$D$35,ROW()-1)-4)</f>
        <v>#NUM!</v>
      </c>
      <c r="E11" t="e">
        <f>INDEX(CANCIONES!F$5:F$100,SMALL('OPERACIONES DE FORMULAS'!$D$5:$D$35,ROW()-1)-4)</f>
        <v>#NUM!</v>
      </c>
      <c r="F11" t="e">
        <f>INDEX(CANCIONES!G$5:G$100,SMALL('OPERACIONES DE FORMULAS'!$D$5:$D$35,ROW()-1)-4)</f>
        <v>#NUM!</v>
      </c>
      <c r="G11" t="e">
        <f>INDEX(CANCIONES!H$5:H$100,SMALL('OPERACIONES DE FORMULAS'!$D$5:$D$35,ROW()-1)-4)</f>
        <v>#NUM!</v>
      </c>
      <c r="H11" s="12">
        <f t="shared" si="1"/>
        <v>10</v>
      </c>
      <c r="K11" s="7" t="e">
        <f>SMALL('OPERACIONES DE FORMULAS'!$D$5:$D$35,ROW()-1)</f>
        <v>#NUM!</v>
      </c>
    </row>
    <row r="12" spans="1:11" x14ac:dyDescent="0.25">
      <c r="A12" t="e">
        <f t="shared" si="0"/>
        <v>#NUM!</v>
      </c>
      <c r="B12" t="e">
        <f>INDEX(CANCIONES!C$5:C$100,SMALL('OPERACIONES DE FORMULAS'!$D$5:$D$35,ROW()-1)-4)</f>
        <v>#NUM!</v>
      </c>
      <c r="C12" t="e">
        <f>INDEX(CANCIONES!D$5:D$100,SMALL('OPERACIONES DE FORMULAS'!$D$5:$D$35,ROW()-1)-4)</f>
        <v>#NUM!</v>
      </c>
      <c r="D12" t="e">
        <f>INDEX(CANCIONES!E$5:E$100,SMALL('OPERACIONES DE FORMULAS'!$D$5:$D$35,ROW()-1)-4)</f>
        <v>#NUM!</v>
      </c>
      <c r="E12" t="e">
        <f>INDEX(CANCIONES!F$5:F$100,SMALL('OPERACIONES DE FORMULAS'!$D$5:$D$35,ROW()-1)-4)</f>
        <v>#NUM!</v>
      </c>
      <c r="F12" t="e">
        <f>INDEX(CANCIONES!G$5:G$100,SMALL('OPERACIONES DE FORMULAS'!$D$5:$D$35,ROW()-1)-4)</f>
        <v>#NUM!</v>
      </c>
      <c r="G12" t="e">
        <f>INDEX(CANCIONES!H$5:H$100,SMALL('OPERACIONES DE FORMULAS'!$D$5:$D$35,ROW()-1)-4)</f>
        <v>#NUM!</v>
      </c>
      <c r="H12" s="12">
        <f t="shared" si="1"/>
        <v>11</v>
      </c>
      <c r="K12" s="7" t="e">
        <f>SMALL('OPERACIONES DE FORMULAS'!$D$5:$D$35,ROW()-1)</f>
        <v>#NUM!</v>
      </c>
    </row>
    <row r="13" spans="1:11" x14ac:dyDescent="0.25">
      <c r="A13" t="e">
        <f t="shared" si="0"/>
        <v>#NUM!</v>
      </c>
      <c r="B13" t="e">
        <f>INDEX(CANCIONES!C$5:C$100,SMALL('OPERACIONES DE FORMULAS'!$D$5:$D$35,ROW()-1)-4)</f>
        <v>#NUM!</v>
      </c>
      <c r="C13" t="e">
        <f>INDEX(CANCIONES!D$5:D$100,SMALL('OPERACIONES DE FORMULAS'!$D$5:$D$35,ROW()-1)-4)</f>
        <v>#NUM!</v>
      </c>
      <c r="D13" t="e">
        <f>INDEX(CANCIONES!E$5:E$100,SMALL('OPERACIONES DE FORMULAS'!$D$5:$D$35,ROW()-1)-4)</f>
        <v>#NUM!</v>
      </c>
      <c r="E13" t="e">
        <f>INDEX(CANCIONES!F$5:F$100,SMALL('OPERACIONES DE FORMULAS'!$D$5:$D$35,ROW()-1)-4)</f>
        <v>#NUM!</v>
      </c>
      <c r="F13" t="e">
        <f>INDEX(CANCIONES!G$5:G$100,SMALL('OPERACIONES DE FORMULAS'!$D$5:$D$35,ROW()-1)-4)</f>
        <v>#NUM!</v>
      </c>
      <c r="G13" t="e">
        <f>INDEX(CANCIONES!H$5:H$100,SMALL('OPERACIONES DE FORMULAS'!$D$5:$D$35,ROW()-1)-4)</f>
        <v>#NUM!</v>
      </c>
      <c r="H13" s="12">
        <f t="shared" si="1"/>
        <v>12</v>
      </c>
      <c r="K13" s="7" t="e">
        <f>SMALL('OPERACIONES DE FORMULAS'!$D$5:$D$35,ROW()-1)</f>
        <v>#NUM!</v>
      </c>
    </row>
    <row r="14" spans="1:11" x14ac:dyDescent="0.25">
      <c r="A14" t="e">
        <f t="shared" si="0"/>
        <v>#NUM!</v>
      </c>
      <c r="B14" t="e">
        <f>INDEX(CANCIONES!C$5:C$100,SMALL('OPERACIONES DE FORMULAS'!$D$5:$D$35,ROW()-1)-4)</f>
        <v>#NUM!</v>
      </c>
      <c r="C14" t="e">
        <f>INDEX(CANCIONES!D$5:D$100,SMALL('OPERACIONES DE FORMULAS'!$D$5:$D$35,ROW()-1)-4)</f>
        <v>#NUM!</v>
      </c>
      <c r="D14" t="e">
        <f>INDEX(CANCIONES!E$5:E$100,SMALL('OPERACIONES DE FORMULAS'!$D$5:$D$35,ROW()-1)-4)</f>
        <v>#NUM!</v>
      </c>
      <c r="E14" t="e">
        <f>INDEX(CANCIONES!F$5:F$100,SMALL('OPERACIONES DE FORMULAS'!$D$5:$D$35,ROW()-1)-4)</f>
        <v>#NUM!</v>
      </c>
      <c r="F14" t="e">
        <f>INDEX(CANCIONES!G$5:G$100,SMALL('OPERACIONES DE FORMULAS'!$D$5:$D$35,ROW()-1)-4)</f>
        <v>#NUM!</v>
      </c>
      <c r="G14" t="e">
        <f>INDEX(CANCIONES!H$5:H$100,SMALL('OPERACIONES DE FORMULAS'!$D$5:$D$35,ROW()-1)-4)</f>
        <v>#NUM!</v>
      </c>
      <c r="H14" s="12">
        <f t="shared" si="1"/>
        <v>13</v>
      </c>
      <c r="K14" s="7" t="e">
        <f>SMALL('OPERACIONES DE FORMULAS'!$D$5:$D$35,ROW()-1)</f>
        <v>#NUM!</v>
      </c>
    </row>
    <row r="15" spans="1:11" x14ac:dyDescent="0.25">
      <c r="A15" t="e">
        <f t="shared" si="0"/>
        <v>#NUM!</v>
      </c>
      <c r="B15" t="e">
        <f>INDEX(CANCIONES!C$5:C$100,SMALL('OPERACIONES DE FORMULAS'!$D$5:$D$35,ROW()-1)-4)</f>
        <v>#NUM!</v>
      </c>
      <c r="C15" t="e">
        <f>INDEX(CANCIONES!D$5:D$100,SMALL('OPERACIONES DE FORMULAS'!$D$5:$D$35,ROW()-1)-4)</f>
        <v>#NUM!</v>
      </c>
      <c r="D15" t="e">
        <f>INDEX(CANCIONES!E$5:E$100,SMALL('OPERACIONES DE FORMULAS'!$D$5:$D$35,ROW()-1)-4)</f>
        <v>#NUM!</v>
      </c>
      <c r="E15" t="e">
        <f>INDEX(CANCIONES!F$5:F$100,SMALL('OPERACIONES DE FORMULAS'!$D$5:$D$35,ROW()-1)-4)</f>
        <v>#NUM!</v>
      </c>
      <c r="F15" t="e">
        <f>INDEX(CANCIONES!G$5:G$100,SMALL('OPERACIONES DE FORMULAS'!$D$5:$D$35,ROW()-1)-4)</f>
        <v>#NUM!</v>
      </c>
      <c r="G15" t="e">
        <f>INDEX(CANCIONES!H$5:H$100,SMALL('OPERACIONES DE FORMULAS'!$D$5:$D$35,ROW()-1)-4)</f>
        <v>#NUM!</v>
      </c>
      <c r="H15" s="12">
        <f t="shared" si="1"/>
        <v>14</v>
      </c>
      <c r="K15" s="7" t="e">
        <f>SMALL('OPERACIONES DE FORMULAS'!$D$5:$D$35,ROW()-1)</f>
        <v>#NUM!</v>
      </c>
    </row>
    <row r="16" spans="1:11" x14ac:dyDescent="0.25">
      <c r="B16" t="e">
        <f>INDEX(CANCIONES!C$5:C$100,SMALL('OPERACIONES DE FORMULAS'!$D$5:$D$35,ROW()-1)-4)</f>
        <v>#NUM!</v>
      </c>
      <c r="C16" t="e">
        <f>INDEX(CANCIONES!D$5:D$100,SMALL('OPERACIONES DE FORMULAS'!$D$5:$D$35,ROW()-1)-4)</f>
        <v>#NUM!</v>
      </c>
      <c r="D16" t="e">
        <f>INDEX(CANCIONES!E$5:E$100,SMALL('OPERACIONES DE FORMULAS'!$D$5:$D$35,ROW()-1)-4)</f>
        <v>#NUM!</v>
      </c>
      <c r="E16" t="e">
        <f>INDEX(CANCIONES!F$5:F$100,SMALL('OPERACIONES DE FORMULAS'!$D$5:$D$35,ROW()-1)-4)</f>
        <v>#NUM!</v>
      </c>
      <c r="F16" t="e">
        <f>INDEX(CANCIONES!G$5:G$100,SMALL('OPERACIONES DE FORMULAS'!$D$5:$D$35,ROW()-1)-4)</f>
        <v>#NUM!</v>
      </c>
      <c r="G16" t="e">
        <f>INDEX(CANCIONES!H$5:H$100,SMALL('OPERACIONES DE FORMULAS'!$D$5:$D$35,ROW()-1)-4)</f>
        <v>#NUM!</v>
      </c>
      <c r="H16" s="12">
        <f t="shared" si="1"/>
        <v>15</v>
      </c>
      <c r="K16" s="7" t="e">
        <f>SMALL('OPERACIONES DE FORMULAS'!$D$5:$D$35,ROW()-1)</f>
        <v>#NUM!</v>
      </c>
    </row>
    <row r="17" spans="2:11" x14ac:dyDescent="0.25">
      <c r="B17" t="e">
        <f>INDEX(CANCIONES!C$5:C$100,SMALL('OPERACIONES DE FORMULAS'!$D$5:$D$35,ROW()-1)-4)</f>
        <v>#NUM!</v>
      </c>
      <c r="C17" t="e">
        <f>INDEX(CANCIONES!D$5:D$100,SMALL('OPERACIONES DE FORMULAS'!$D$5:$D$35,ROW()-1)-4)</f>
        <v>#NUM!</v>
      </c>
      <c r="D17" t="e">
        <f>INDEX(CANCIONES!E$5:E$100,SMALL('OPERACIONES DE FORMULAS'!$D$5:$D$35,ROW()-1)-4)</f>
        <v>#NUM!</v>
      </c>
      <c r="E17" t="e">
        <f>INDEX(CANCIONES!F$5:F$100,SMALL('OPERACIONES DE FORMULAS'!$D$5:$D$35,ROW()-1)-4)</f>
        <v>#NUM!</v>
      </c>
      <c r="F17" t="e">
        <f>INDEX(CANCIONES!G$5:G$100,SMALL('OPERACIONES DE FORMULAS'!$D$5:$D$35,ROW()-1)-4)</f>
        <v>#NUM!</v>
      </c>
      <c r="G17" t="e">
        <f>INDEX(CANCIONES!H$5:H$100,SMALL('OPERACIONES DE FORMULAS'!$D$5:$D$35,ROW()-1)-4)</f>
        <v>#NUM!</v>
      </c>
      <c r="H17" s="12">
        <f t="shared" si="1"/>
        <v>16</v>
      </c>
      <c r="K17" s="7" t="e">
        <f>SMALL('OPERACIONES DE FORMULAS'!$D$5:$D$35,ROW()-1)</f>
        <v>#NUM!</v>
      </c>
    </row>
    <row r="18" spans="2:11" x14ac:dyDescent="0.25">
      <c r="B18" t="e">
        <f>INDEX(CANCIONES!C$5:C$100,SMALL('OPERACIONES DE FORMULAS'!$D$5:$D$35,ROW()-1)-4)</f>
        <v>#NUM!</v>
      </c>
      <c r="C18" t="e">
        <f>INDEX(CANCIONES!D$5:D$100,SMALL('OPERACIONES DE FORMULAS'!$D$5:$D$35,ROW()-1)-4)</f>
        <v>#NUM!</v>
      </c>
      <c r="D18" t="e">
        <f>INDEX(CANCIONES!E$5:E$100,SMALL('OPERACIONES DE FORMULAS'!$D$5:$D$35,ROW()-1)-4)</f>
        <v>#NUM!</v>
      </c>
      <c r="E18" t="e">
        <f>INDEX(CANCIONES!F$5:F$100,SMALL('OPERACIONES DE FORMULAS'!$D$5:$D$35,ROW()-1)-4)</f>
        <v>#NUM!</v>
      </c>
      <c r="F18" t="e">
        <f>INDEX(CANCIONES!G$5:G$100,SMALL('OPERACIONES DE FORMULAS'!$D$5:$D$35,ROW()-1)-4)</f>
        <v>#NUM!</v>
      </c>
      <c r="G18" t="e">
        <f>INDEX(CANCIONES!H$5:H$100,SMALL('OPERACIONES DE FORMULAS'!$D$5:$D$35,ROW()-1)-4)</f>
        <v>#NUM!</v>
      </c>
      <c r="H18" s="12">
        <f t="shared" si="1"/>
        <v>17</v>
      </c>
      <c r="K18" s="7" t="e">
        <f>SMALL('OPERACIONES DE FORMULAS'!$D$5:$D$35,ROW()-1)</f>
        <v>#NUM!</v>
      </c>
    </row>
    <row r="19" spans="2:11" x14ac:dyDescent="0.25">
      <c r="B19" t="e">
        <f>INDEX(CANCIONES!C$5:C$100,SMALL('OPERACIONES DE FORMULAS'!$D$5:$D$35,ROW()-1)-4)</f>
        <v>#NUM!</v>
      </c>
      <c r="C19" t="e">
        <f>INDEX(CANCIONES!D$5:D$100,SMALL('OPERACIONES DE FORMULAS'!$D$5:$D$35,ROW()-1)-4)</f>
        <v>#NUM!</v>
      </c>
      <c r="D19" t="e">
        <f>INDEX(CANCIONES!E$5:E$100,SMALL('OPERACIONES DE FORMULAS'!$D$5:$D$35,ROW()-1)-4)</f>
        <v>#NUM!</v>
      </c>
      <c r="E19" t="e">
        <f>INDEX(CANCIONES!F$5:F$100,SMALL('OPERACIONES DE FORMULAS'!$D$5:$D$35,ROW()-1)-4)</f>
        <v>#NUM!</v>
      </c>
      <c r="F19" t="e">
        <f>INDEX(CANCIONES!G$5:G$100,SMALL('OPERACIONES DE FORMULAS'!$D$5:$D$35,ROW()-1)-4)</f>
        <v>#NUM!</v>
      </c>
      <c r="G19" t="e">
        <f>INDEX(CANCIONES!H$5:H$100,SMALL('OPERACIONES DE FORMULAS'!$D$5:$D$35,ROW()-1)-4)</f>
        <v>#NUM!</v>
      </c>
      <c r="H19" s="12">
        <f t="shared" si="1"/>
        <v>18</v>
      </c>
    </row>
    <row r="20" spans="2:11" x14ac:dyDescent="0.25">
      <c r="B20" t="e">
        <f>INDEX(CANCIONES!C$5:C$100,SMALL('OPERACIONES DE FORMULAS'!$D$5:$D$35,ROW()-1)-4)</f>
        <v>#NUM!</v>
      </c>
      <c r="C20" t="e">
        <f>INDEX(CANCIONES!D$5:D$100,SMALL('OPERACIONES DE FORMULAS'!$D$5:$D$35,ROW()-1)-4)</f>
        <v>#NUM!</v>
      </c>
      <c r="D20" t="e">
        <f>INDEX(CANCIONES!E$5:E$100,SMALL('OPERACIONES DE FORMULAS'!$D$5:$D$35,ROW()-1)-4)</f>
        <v>#NUM!</v>
      </c>
      <c r="E20" t="e">
        <f>INDEX(CANCIONES!F$5:F$100,SMALL('OPERACIONES DE FORMULAS'!$D$5:$D$35,ROW()-1)-4)</f>
        <v>#NUM!</v>
      </c>
      <c r="F20" t="e">
        <f>INDEX(CANCIONES!G$5:G$100,SMALL('OPERACIONES DE FORMULAS'!$D$5:$D$35,ROW()-1)-4)</f>
        <v>#NUM!</v>
      </c>
      <c r="G20" t="e">
        <f>INDEX(CANCIONES!H$5:H$100,SMALL('OPERACIONES DE FORMULAS'!$D$5:$D$35,ROW()-1)-4)</f>
        <v>#NUM!</v>
      </c>
      <c r="H20" s="12">
        <f t="shared" si="1"/>
        <v>19</v>
      </c>
    </row>
    <row r="21" spans="2:11" x14ac:dyDescent="0.25">
      <c r="B21" t="e">
        <f>INDEX(CANCIONES!C$5:C$100,SMALL('OPERACIONES DE FORMULAS'!$D$5:$D$35,ROW()-1)-4)</f>
        <v>#NUM!</v>
      </c>
      <c r="C21" t="e">
        <f>INDEX(CANCIONES!D$5:D$100,SMALL('OPERACIONES DE FORMULAS'!$D$5:$D$35,ROW()-1)-4)</f>
        <v>#NUM!</v>
      </c>
      <c r="D21" t="e">
        <f>INDEX(CANCIONES!E$5:E$100,SMALL('OPERACIONES DE FORMULAS'!$D$5:$D$35,ROW()-1)-4)</f>
        <v>#NUM!</v>
      </c>
      <c r="E21" t="e">
        <f>INDEX(CANCIONES!F$5:F$100,SMALL('OPERACIONES DE FORMULAS'!$D$5:$D$35,ROW()-1)-4)</f>
        <v>#NUM!</v>
      </c>
      <c r="F21" t="e">
        <f>INDEX(CANCIONES!G$5:G$100,SMALL('OPERACIONES DE FORMULAS'!$D$5:$D$35,ROW()-1)-4)</f>
        <v>#NUM!</v>
      </c>
      <c r="G21" t="e">
        <f>INDEX(CANCIONES!H$5:H$100,SMALL('OPERACIONES DE FORMULAS'!$D$5:$D$35,ROW()-1)-4)</f>
        <v>#NUM!</v>
      </c>
      <c r="H21" s="12">
        <f t="shared" si="1"/>
        <v>20</v>
      </c>
    </row>
    <row r="22" spans="2:11" x14ac:dyDescent="0.25">
      <c r="B22" t="e">
        <f>INDEX(CANCIONES!C$5:C$100,SMALL('OPERACIONES DE FORMULAS'!$D$5:$D$35,ROW()-1)-4)</f>
        <v>#NUM!</v>
      </c>
      <c r="C22" t="e">
        <f>INDEX(CANCIONES!D$5:D$100,SMALL('OPERACIONES DE FORMULAS'!$D$5:$D$35,ROW()-1)-4)</f>
        <v>#NUM!</v>
      </c>
      <c r="D22" t="e">
        <f>INDEX(CANCIONES!E$5:E$100,SMALL('OPERACIONES DE FORMULAS'!$D$5:$D$35,ROW()-1)-4)</f>
        <v>#NUM!</v>
      </c>
      <c r="E22" t="e">
        <f>INDEX(CANCIONES!F$5:F$100,SMALL('OPERACIONES DE FORMULAS'!$D$5:$D$35,ROW()-1)-4)</f>
        <v>#NUM!</v>
      </c>
      <c r="F22" t="e">
        <f>INDEX(CANCIONES!G$5:G$100,SMALL('OPERACIONES DE FORMULAS'!$D$5:$D$35,ROW()-1)-4)</f>
        <v>#NUM!</v>
      </c>
      <c r="G22" t="e">
        <f>INDEX(CANCIONES!H$5:H$100,SMALL('OPERACIONES DE FORMULAS'!$D$5:$D$35,ROW()-1)-4)</f>
        <v>#NUM!</v>
      </c>
      <c r="H22" s="12">
        <f t="shared" si="1"/>
        <v>21</v>
      </c>
    </row>
    <row r="23" spans="2:11" x14ac:dyDescent="0.25">
      <c r="B23" t="e">
        <f>INDEX(CANCIONES!$B$5:$B$100,SMALL('OPERACIONES DE FORMULAS'!$D$5:$D$35,ROW()-1)-4)</f>
        <v>#NUM!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>
    <tabColor theme="2" tint="-0.499984740745262"/>
  </sheetPr>
  <dimension ref="D4:G61"/>
  <sheetViews>
    <sheetView workbookViewId="0">
      <selection activeCell="G5" sqref="G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3" t="s">
        <v>44</v>
      </c>
    </row>
    <row r="5" spans="4:7" x14ac:dyDescent="0.25">
      <c r="D5">
        <f>IF(CANCIONES!$C$5:$C$200=Index!$C$2,ROW())</f>
        <v>5</v>
      </c>
      <c r="G5" t="str">
        <f>IFERROR(INDEX(CANCIONES!$C$5:$C$13,MATCH(ROWS(CANCIONES!$A$5:A5),CANCIONES!$A$5:$A$13,0)),"")</f>
        <v>Replay</v>
      </c>
    </row>
    <row r="6" spans="4:7" x14ac:dyDescent="0.25">
      <c r="D6">
        <f>IF(CANCIONES!$C$5:$C$200=Index!$C$2,ROW())</f>
        <v>6</v>
      </c>
      <c r="G6" t="str">
        <f>IFERROR(INDEX(CANCIONES!$C$5:$C$13,MATCH(ROWS(CANCIONES!$A$5:A6),CANCIONES!$A$5:$A$13,0)),"")</f>
        <v/>
      </c>
    </row>
    <row r="7" spans="4:7" x14ac:dyDescent="0.25">
      <c r="D7">
        <f>IF(CANCIONES!$C$5:$C$200=Index!$C$2,ROW())</f>
        <v>7</v>
      </c>
      <c r="G7" t="str">
        <f>IFERROR(INDEX(CANCIONES!$C$5:$C$13,MATCH(ROWS(CANCIONES!$A$5:A7),CANCIONES!$A$5:$A$13,0)),"")</f>
        <v/>
      </c>
    </row>
    <row r="8" spans="4:7" x14ac:dyDescent="0.25">
      <c r="D8">
        <f>IF(CANCIONES!$C$5:$C$200=Index!$C$2,ROW())</f>
        <v>8</v>
      </c>
      <c r="G8" t="str">
        <f>IFERROR(INDEX(CANCIONES!$C$5:$C$13,MATCH(ROWS(CANCIONES!$A$5:A8),CANCIONES!$A$5:$A$13,0)),"")</f>
        <v/>
      </c>
    </row>
    <row r="9" spans="4:7" x14ac:dyDescent="0.25">
      <c r="D9">
        <f>IF(CANCIONES!$C$5:$C$200=Index!$C$2,ROW())</f>
        <v>9</v>
      </c>
      <c r="G9" t="str">
        <f>IFERROR(INDEX(CANCIONES!$C$5:$C$13,MATCH(ROWS(CANCIONES!$A$5:A9),CANCIONES!$A$5:$A$13,0)),"")</f>
        <v/>
      </c>
    </row>
    <row r="10" spans="4:7" x14ac:dyDescent="0.25">
      <c r="D10">
        <f>IF(CANCIONES!$C$5:$C$200=Index!$C$2,ROW())</f>
        <v>10</v>
      </c>
      <c r="G10" t="str">
        <f>IFERROR(INDEX(CANCIONES!$C$5:$C$13,MATCH(ROWS(CANCIONES!$A$5:A10),CANCIONES!$A$5:$A$13,0)),"")</f>
        <v/>
      </c>
    </row>
    <row r="11" spans="4:7" x14ac:dyDescent="0.25">
      <c r="D11">
        <f>IF(CANCIONES!$C$5:$C$200=Index!$C$2,ROW())</f>
        <v>11</v>
      </c>
      <c r="G11" t="str">
        <f>IFERROR(INDEX(CANCIONES!$C$5:$C$13,MATCH(ROWS(CANCIONES!$A$5:A11),CANCIONES!$A$5:$A$13,0)),"")</f>
        <v/>
      </c>
    </row>
    <row r="12" spans="4:7" x14ac:dyDescent="0.25">
      <c r="D12">
        <f>IF(CANCIONES!$C$5:$C$200=Index!$C$2,ROW())</f>
        <v>12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 t="b">
        <f>IF(CANCIONES!$C$5:$C$200=Index!$C$2,ROW())</f>
        <v>0</v>
      </c>
      <c r="G14" t="str">
        <f>IFERROR(INDEX(CANCIONES!$C$5:$C$13,MATCH(ROWS(CANCIONES!$A$5:A14),CANCIONES!$A$5:$A$13,0)),"")</f>
        <v/>
      </c>
    </row>
    <row r="15" spans="4:7" x14ac:dyDescent="0.25">
      <c r="D15" t="b">
        <f>IF(CANCIONES!$C$5:$C$200=Index!$C$2,ROW())</f>
        <v>0</v>
      </c>
      <c r="G15" t="str">
        <f>IFERROR(INDEX(CANCIONES!$C$5:$C$13,MATCH(ROWS(CANCIONES!$A$5:A15),CANCIONES!$A$5:$A$13,0)),"")</f>
        <v/>
      </c>
    </row>
    <row r="16" spans="4:7" x14ac:dyDescent="0.25">
      <c r="D16" t="b">
        <f>IF(CANCIONES!$C$5:$C$200=Index!$C$2,ROW())</f>
        <v>0</v>
      </c>
      <c r="G16" t="str">
        <f>IFERROR(INDEX(CANCIONES!$C$5:$C$13,MATCH(ROWS(CANCIONES!$A$5:A16),CANCIONES!$A$5:$A$13,0)),"")</f>
        <v/>
      </c>
    </row>
    <row r="17" spans="4:7" x14ac:dyDescent="0.25">
      <c r="D17" t="b">
        <f>IF(CANCIONES!$C$5:$C$200=Index!$C$2,ROW())</f>
        <v>0</v>
      </c>
      <c r="G17" t="str">
        <f>IFERROR(INDEX(CANCIONES!$C$5:$C$13,MATCH(ROWS(CANCIONES!$A$5:A17),CANCIONES!$A$5:$A$13,0)),"")</f>
        <v/>
      </c>
    </row>
    <row r="18" spans="4:7" x14ac:dyDescent="0.25">
      <c r="D18" t="b">
        <f>IF(CANCIONES!$C$5:$C$200=Index!$C$2,ROW())</f>
        <v>0</v>
      </c>
      <c r="G18" t="str">
        <f>IFERROR(INDEX(CANCIONES!$C$5:$C$13,MATCH(ROWS(CANCIONES!$A$5:A18),CANCIONES!$A$5:$A$13,0)),"")</f>
        <v/>
      </c>
    </row>
    <row r="19" spans="4:7" x14ac:dyDescent="0.25">
      <c r="D19" t="b">
        <f>IF(CANCIONES!$C$5:$C$200=Index!$C$2,ROW())</f>
        <v>0</v>
      </c>
      <c r="G19" t="str">
        <f>IFERROR(INDEX(CANCIONES!$C$5:$C$13,MATCH(ROWS(CANCIONES!$A$5:A19),CANCIONES!$A$5:$A$13,0)),"")</f>
        <v/>
      </c>
    </row>
    <row r="20" spans="4:7" x14ac:dyDescent="0.25">
      <c r="D20" t="b">
        <f>IF(CANCIONES!$C$5:$C$200=Index!$C$2,ROW())</f>
        <v>0</v>
      </c>
      <c r="G20" t="str">
        <f>IFERROR(INDEX(CANCIONES!$C$5:$C$13,MATCH(ROWS(CANCIONES!$A$5:A20),CANCIONES!$A$5:$A$13,0)),"")</f>
        <v/>
      </c>
    </row>
    <row r="21" spans="4:7" x14ac:dyDescent="0.25">
      <c r="D21" t="b">
        <f>IF(CANCIONES!$C$5:$C$200=Index!$C$2,ROW())</f>
        <v>0</v>
      </c>
      <c r="G21" t="str">
        <f>IFERROR(INDEX(CANCIONES!$C$5:$C$13,MATCH(ROWS(CANCIONES!$A$5:A21),CANCIONES!$A$5:$A$13,0)),"")</f>
        <v/>
      </c>
    </row>
    <row r="22" spans="4:7" x14ac:dyDescent="0.25">
      <c r="D22" t="b">
        <f>IF(CANCIONES!$C$5:$C$200=Index!$C$2,ROW())</f>
        <v>0</v>
      </c>
      <c r="G22" t="str">
        <f>IFERROR(INDEX(CANCIONES!$C$5:$C$13,MATCH(ROWS(CANCIONES!$A$5:A22),CANCIONES!$A$5:$A$13,0)),"")</f>
        <v/>
      </c>
    </row>
    <row r="23" spans="4:7" x14ac:dyDescent="0.25">
      <c r="D23" t="b">
        <f>IF(CANCIONES!$C$5:$C$200=Index!$C$2,ROW())</f>
        <v>0</v>
      </c>
      <c r="G23" t="str">
        <f>IFERROR(INDEX(CANCIONES!$C$5:$C$13,MATCH(ROWS(CANCIONES!$A$5:A23),CANCIONES!$A$5:$A$13,0)),"")</f>
        <v/>
      </c>
    </row>
    <row r="24" spans="4:7" x14ac:dyDescent="0.25">
      <c r="D24" t="b">
        <f>IF(CANCIONES!$C$5:$C$200=Index!$C$2,ROW())</f>
        <v>0</v>
      </c>
      <c r="G24" t="str">
        <f>IFERROR(INDEX(CANCIONES!$C$5:$C$13,MATCH(ROWS(CANCIONES!$A$5:A24),CANCIONES!$A$5:$A$13,0)),"")</f>
        <v/>
      </c>
    </row>
    <row r="25" spans="4:7" x14ac:dyDescent="0.25">
      <c r="D25" t="b">
        <f>IF(CANCIONES!$C$5:$C$200=Index!$C$2,ROW())</f>
        <v>0</v>
      </c>
      <c r="G25" t="str">
        <f>IFERROR(INDEX(CANCIONES!$C$5:$C$13,MATCH(ROWS(CANCIONES!$A$5:A25),CANCIONES!$A$5:$A$13,0)),"")</f>
        <v/>
      </c>
    </row>
    <row r="26" spans="4:7" x14ac:dyDescent="0.25">
      <c r="D26" t="b">
        <f>IF(CANCIONES!$C$5:$C$200=Index!$C$2,ROW())</f>
        <v>0</v>
      </c>
      <c r="G26" t="str">
        <f>IFERROR(INDEX(CANCIONES!$C$5:$C$13,MATCH(ROWS(CANCIONES!$A$5:A26),CANCIONES!$A$5:$A$13,0)),"")</f>
        <v/>
      </c>
    </row>
    <row r="27" spans="4:7" x14ac:dyDescent="0.25">
      <c r="D27" t="b">
        <f>IF(CANCIONES!$C$5:$C$200=Index!$C$2,ROW())</f>
        <v>0</v>
      </c>
      <c r="G27" t="str">
        <f>IFERROR(INDEX(CANCIONES!$C$5:$C$13,MATCH(ROWS(CANCIONES!$A$5:A27),CANCIONES!$A$5:$A$13,0)),"")</f>
        <v/>
      </c>
    </row>
    <row r="28" spans="4:7" x14ac:dyDescent="0.25">
      <c r="D28" t="b">
        <f>IF(CANCIONES!$C$5:$C$200=Index!$C$2,ROW())</f>
        <v>0</v>
      </c>
      <c r="G28" t="str">
        <f>IFERROR(INDEX(CANCIONES!$C$5:$C$13,MATCH(ROWS(CANCIONES!$A$5:A28),CANCIONES!$A$5:$A$13,0)),"")</f>
        <v/>
      </c>
    </row>
    <row r="29" spans="4:7" x14ac:dyDescent="0.25">
      <c r="D29" t="b">
        <f>IF(CANCIONES!$C$5:$C$200=Index!$C$2,ROW())</f>
        <v>0</v>
      </c>
      <c r="G29" t="str">
        <f>IFERROR(INDEX(CANCIONES!$C$5:$C$13,MATCH(ROWS(CANCIONES!$A$5:A29),CANCIONES!$A$5:$A$13,0)),"")</f>
        <v/>
      </c>
    </row>
    <row r="30" spans="4:7" x14ac:dyDescent="0.25">
      <c r="D30" t="b">
        <f>IF(CANCIONES!$C$5:$C$200=Index!$C$2,ROW())</f>
        <v>0</v>
      </c>
      <c r="G30" t="str">
        <f>IFERROR(INDEX(CANCIONES!$C$5:$C$13,MATCH(ROWS(CANCIONES!$A$5:A30),CANCIONES!$A$5:$A$13,0)),"")</f>
        <v/>
      </c>
    </row>
    <row r="31" spans="4:7" x14ac:dyDescent="0.25">
      <c r="D31" t="b">
        <f>IF(CANCIONES!$C$5:$C$200=Index!$C$2,ROW())</f>
        <v>0</v>
      </c>
      <c r="G31" t="str">
        <f>IFERROR(INDEX(CANCIONES!$C$5:$C$13,MATCH(ROWS(CANCIONES!$A$5:A31),CANCIONES!$A$5:$A$13,0)),"")</f>
        <v/>
      </c>
    </row>
    <row r="32" spans="4:7" x14ac:dyDescent="0.25">
      <c r="D32" t="b">
        <f>IF(CANCIONES!$C$5:$C$200=Index!$C$2,ROW())</f>
        <v>0</v>
      </c>
      <c r="G32" t="str">
        <f>IFERROR(INDEX(CANCIONES!$C$5:$C$13,MATCH(ROWS(CANCIONES!$A$5:A32),CANCIONES!$A$5:$A$13,0)),"")</f>
        <v/>
      </c>
    </row>
    <row r="33" spans="4:7" x14ac:dyDescent="0.25">
      <c r="D33" t="b">
        <f>IF(CANCIONES!$C$5:$C$200=Index!$C$2,ROW())</f>
        <v>0</v>
      </c>
      <c r="G33" t="str">
        <f>IFERROR(INDEX(CANCIONES!$C$5:$C$13,MATCH(ROWS(CANCIONES!$A$5:A33),CANCIONES!$A$5:$A$13,0)),"")</f>
        <v/>
      </c>
    </row>
    <row r="34" spans="4:7" x14ac:dyDescent="0.25">
      <c r="D34" t="b">
        <f>IF(CANCIONES!$C$5:$C$200=Index!$C$2,ROW())</f>
        <v>0</v>
      </c>
      <c r="G34" t="str">
        <f>IFERROR(INDEX(CANCIONES!$C$5:$C$13,MATCH(ROWS(CANCIONES!$A$5:A34),CANCIONES!$A$5:$A$13,0)),"")</f>
        <v/>
      </c>
    </row>
    <row r="35" spans="4:7" x14ac:dyDescent="0.25">
      <c r="D35" t="b">
        <f>IF(CANCIONES!$C$5:$C$200=Index!$C$2,ROW())</f>
        <v>0</v>
      </c>
      <c r="G35" t="str">
        <f>IFERROR(INDEX(CANCIONES!$C$5:$C$13,MATCH(ROWS(CANCIONES!$A$5:A35),CANCIONES!$A$5:$A$13,0)),"")</f>
        <v/>
      </c>
    </row>
    <row r="36" spans="4:7" x14ac:dyDescent="0.25">
      <c r="D36" t="b">
        <f>IF(CANCIONES!$C$5:$C$200=Index!$C$2,ROW())</f>
        <v>0</v>
      </c>
      <c r="G36" t="str">
        <f>IFERROR(INDEX(CANCIONES!$C$5:$C$13,MATCH(ROWS(CANCIONES!$A$5:A36),CANCIONES!$A$5:$A$13,0)),"")</f>
        <v/>
      </c>
    </row>
    <row r="37" spans="4:7" x14ac:dyDescent="0.25">
      <c r="D37" t="b">
        <f>IF(CANCIONES!$C$5:$C$200=Index!$C$2,ROW())</f>
        <v>0</v>
      </c>
      <c r="G37" t="str">
        <f>IFERROR(INDEX(CANCIONES!$C$5:$C$13,MATCH(ROWS(CANCIONES!$A$5:A37),CANCIONES!$A$5:$A$13,0)),"")</f>
        <v/>
      </c>
    </row>
    <row r="38" spans="4:7" x14ac:dyDescent="0.25">
      <c r="D38" t="b">
        <f>IF(CANCIONES!$C$5:$C$200=Index!$C$2,ROW())</f>
        <v>0</v>
      </c>
      <c r="G38" t="str">
        <f>IFERROR(INDEX(CANCIONES!$C$5:$C$13,MATCH(ROWS(CANCIONES!$A$5:A38),CANCIONES!$A$5:$A$13,0)),"")</f>
        <v/>
      </c>
    </row>
    <row r="39" spans="4:7" x14ac:dyDescent="0.25">
      <c r="D39" t="b">
        <f>IF(CANCIONES!$C$5:$C$200=Index!$C$2,ROW())</f>
        <v>0</v>
      </c>
      <c r="G39" t="str">
        <f>IFERROR(INDEX(CANCIONES!$C$5:$C$13,MATCH(ROWS(CANCIONES!$A$5:A39),CANCIONES!$A$5:$A$13,0)),"")</f>
        <v/>
      </c>
    </row>
    <row r="40" spans="4:7" x14ac:dyDescent="0.25">
      <c r="D40" t="b">
        <f>IF(CANCIONES!$C$5:$C$200=Index!$C$2,ROW())</f>
        <v>0</v>
      </c>
      <c r="G40" t="str">
        <f>IFERROR(INDEX(CANCIONES!$C$5:$C$13,MATCH(ROWS(CANCIONES!$A$5:A40),CANCIONES!$A$5:$A$13,0)),"")</f>
        <v/>
      </c>
    </row>
    <row r="41" spans="4:7" x14ac:dyDescent="0.25">
      <c r="D41" t="b">
        <f>IF(CANCIONES!$C$5:$C$200=Index!$C$2,ROW())</f>
        <v>0</v>
      </c>
      <c r="G41" t="str">
        <f>IFERROR(INDEX(CANCIONES!$C$5:$C$13,MATCH(ROWS(CANCIONES!$A$5:A41),CANCIONES!$A$5:$A$13,0)),"")</f>
        <v/>
      </c>
    </row>
    <row r="42" spans="4:7" x14ac:dyDescent="0.25">
      <c r="D42" t="b">
        <f>IF(CANCIONES!$C$5:$C$200=Index!$C$2,ROW())</f>
        <v>0</v>
      </c>
      <c r="G42" t="str">
        <f>IFERROR(INDEX(CANCIONES!$C$5:$C$13,MATCH(ROWS(CANCIONES!$A$5:A42),CANCIONES!$A$5:$A$13,0)),"")</f>
        <v/>
      </c>
    </row>
    <row r="43" spans="4:7" x14ac:dyDescent="0.25">
      <c r="D43" t="b">
        <f>IF(CANCIONES!$C$5:$C$200=Index!$C$2,ROW())</f>
        <v>0</v>
      </c>
      <c r="G43" t="str">
        <f>IFERROR(INDEX(CANCIONES!$C$5:$C$13,MATCH(ROWS(CANCIONES!$A$5:A43),CANCIONES!$A$5:$A$13,0)),"")</f>
        <v/>
      </c>
    </row>
    <row r="44" spans="4:7" x14ac:dyDescent="0.25">
      <c r="D44" t="b">
        <f>IF(CANCIONES!$C$5:$C$200=Index!$C$2,ROW())</f>
        <v>0</v>
      </c>
      <c r="G44" t="str">
        <f>IFERROR(INDEX(CANCIONES!$C$5:$C$13,MATCH(ROWS(CANCIONES!$A$5:A44),CANCIONES!$A$5:$A$13,0)),"")</f>
        <v/>
      </c>
    </row>
    <row r="45" spans="4:7" x14ac:dyDescent="0.25">
      <c r="D45" t="b">
        <f>IF(CANCIONES!$C$5:$C$200=Index!$C$2,ROW())</f>
        <v>0</v>
      </c>
      <c r="G45" t="str">
        <f>IFERROR(INDEX(CANCIONES!$C$5:$C$13,MATCH(ROWS(CANCIONES!$A$5:A45),CANCIONES!$A$5:$A$13,0)),"")</f>
        <v/>
      </c>
    </row>
    <row r="46" spans="4:7" x14ac:dyDescent="0.25">
      <c r="D46" t="b">
        <f>IF(CANCIONES!$C$5:$C$200=Index!$C$2,ROW())</f>
        <v>0</v>
      </c>
      <c r="G46" t="str">
        <f>IFERROR(INDEX(CANCIONES!$C$5:$C$13,MATCH(ROWS(CANCIONES!$A$5:A46),CANCIONES!$A$5:$A$13,0)),"")</f>
        <v/>
      </c>
    </row>
    <row r="47" spans="4:7" x14ac:dyDescent="0.25">
      <c r="D47" t="b">
        <f>IF(CANCIONES!$C$5:$C$200=Index!$C$2,ROW())</f>
        <v>0</v>
      </c>
      <c r="G47" t="str">
        <f>IFERROR(INDEX(CANCIONES!$C$5:$C$13,MATCH(ROWS(CANCIONES!$A$5:A47),CANCIONES!$A$5:$A$13,0)),"")</f>
        <v/>
      </c>
    </row>
    <row r="48" spans="4:7" x14ac:dyDescent="0.25">
      <c r="D48" t="b">
        <f>IF(CANCIONES!$C$5:$C$200=Index!$C$2,ROW())</f>
        <v>0</v>
      </c>
      <c r="G48" t="str">
        <f>IFERROR(INDEX(CANCIONES!$C$5:$C$13,MATCH(ROWS(CANCIONES!$A$5:A48),CANCIONES!$A$5:$A$13,0)),"")</f>
        <v/>
      </c>
    </row>
    <row r="49" spans="4:7" x14ac:dyDescent="0.25">
      <c r="D49" t="b">
        <f>IF(CANCIONES!$C$5:$C$200=Index!$C$2,ROW())</f>
        <v>0</v>
      </c>
      <c r="G49" t="str">
        <f>IFERROR(INDEX(CANCIONES!$C$5:$C$13,MATCH(ROWS(CANCIONES!$A$5:A49),CANCIONES!$A$5:$A$13,0)),"")</f>
        <v/>
      </c>
    </row>
    <row r="50" spans="4:7" x14ac:dyDescent="0.25">
      <c r="D50" t="b">
        <f>IF(CANCIONES!$C$5:$C$200=Index!$C$2,ROW())</f>
        <v>0</v>
      </c>
      <c r="G50" t="str">
        <f>IFERROR(INDEX(CANCIONES!$C$5:$C$13,MATCH(ROWS(CANCIONES!$A$5:A50),CANCIONES!$A$5:$A$13,0)),"")</f>
        <v/>
      </c>
    </row>
    <row r="51" spans="4:7" x14ac:dyDescent="0.25">
      <c r="D51" t="b">
        <f>IF(CANCIONES!$C$5:$C$200=Index!$C$2,ROW())</f>
        <v>0</v>
      </c>
      <c r="G51" t="str">
        <f>IFERROR(INDEX(CANCIONES!$C$5:$C$13,MATCH(ROWS(CANCIONES!$A$5:A51),CANCIONES!$A$5:$A$13,0)),"")</f>
        <v/>
      </c>
    </row>
    <row r="52" spans="4:7" x14ac:dyDescent="0.25">
      <c r="D52" t="b">
        <f>IF(CANCIONES!$C$5:$C$200=Index!$C$2,ROW())</f>
        <v>0</v>
      </c>
      <c r="G52" t="str">
        <f>IFERROR(INDEX(CANCIONES!$C$5:$C$13,MATCH(ROWS(CANCIONES!$A$5:A52),CANCIONES!$A$5:$A$13,0)),"")</f>
        <v/>
      </c>
    </row>
    <row r="53" spans="4:7" x14ac:dyDescent="0.25">
      <c r="D53" t="b">
        <f>IF(CANCIONES!$C$5:$C$200=Index!$C$2,ROW())</f>
        <v>0</v>
      </c>
      <c r="G53" t="str">
        <f>IFERROR(INDEX(CANCIONES!$C$5:$C$13,MATCH(ROWS(CANCIONES!$A$5:A53),CANCIONES!$A$5:$A$13,0)),"")</f>
        <v/>
      </c>
    </row>
    <row r="54" spans="4:7" x14ac:dyDescent="0.25">
      <c r="D54" t="b">
        <f>IF(CANCIONES!$C$5:$C$200=Index!$C$2,ROW())</f>
        <v>0</v>
      </c>
      <c r="G54" t="str">
        <f>IFERROR(INDEX(CANCIONES!$C$5:$C$13,MATCH(ROWS(CANCIONES!$A$5:A54),CANCIONES!$A$5:$A$13,0)),"")</f>
        <v/>
      </c>
    </row>
    <row r="55" spans="4:7" x14ac:dyDescent="0.25">
      <c r="D55" t="b">
        <f>IF(CANCIONES!$C$5:$C$200=Index!$C$2,ROW())</f>
        <v>0</v>
      </c>
      <c r="G55" t="str">
        <f>IFERROR(INDEX(CANCIONES!$C$5:$C$13,MATCH(ROWS(CANCIONES!$A$5:A55),CANCIONES!$A$5:$A$13,0)),"")</f>
        <v/>
      </c>
    </row>
    <row r="56" spans="4:7" x14ac:dyDescent="0.25">
      <c r="D56" t="b">
        <f>IF(CANCIONES!$C$5:$C$200=Index!$C$2,ROW())</f>
        <v>0</v>
      </c>
      <c r="G56" t="str">
        <f>IFERROR(INDEX(CANCIONES!$C$5:$C$13,MATCH(ROWS(CANCIONES!$A$5:A56),CANCIONES!$A$5:$A$13,0)),"")</f>
        <v/>
      </c>
    </row>
    <row r="57" spans="4:7" x14ac:dyDescent="0.25">
      <c r="D57" t="b">
        <f>IF(CANCIONES!$C$5:$C$200=Index!$C$2,ROW())</f>
        <v>0</v>
      </c>
      <c r="G57" t="str">
        <f>IFERROR(INDEX(CANCIONES!$C$5:$C$13,MATCH(ROWS(CANCIONES!$A$5:A57),CANCIONES!$A$5:$A$13,0)),"")</f>
        <v/>
      </c>
    </row>
    <row r="58" spans="4:7" x14ac:dyDescent="0.25">
      <c r="D58" t="b">
        <f>IF(CANCIONES!$C$5:$C$200=Index!$C$2,ROW())</f>
        <v>0</v>
      </c>
      <c r="G58" t="str">
        <f>IFERROR(INDEX(CANCIONES!$C$5:$C$13,MATCH(ROWS(CANCIONES!$A$5:A58),CANCIONES!$A$5:$A$13,0)),"")</f>
        <v/>
      </c>
    </row>
    <row r="59" spans="4:7" x14ac:dyDescent="0.25">
      <c r="D59" t="b">
        <f>IF(CANCIONES!$C$5:$C$200=Index!$C$2,ROW())</f>
        <v>0</v>
      </c>
      <c r="G59" t="str">
        <f>IFERROR(INDEX(CANCIONES!$C$5:$C$13,MATCH(ROWS(CANCIONES!$A$5:A59),CANCIONES!$A$5:$A$13,0)),"")</f>
        <v/>
      </c>
    </row>
    <row r="60" spans="4:7" x14ac:dyDescent="0.25">
      <c r="D60" t="b">
        <f>IF(CANCIONES!$C$5:$C$200=Index!$C$2,ROW())</f>
        <v>0</v>
      </c>
      <c r="G60" t="str">
        <f>IFERROR(INDEX(CANCIONES!$C$5:$C$13,MATCH(ROWS(CANCIONES!$A$5:A60),CANCIONES!$A$5:$A$13,0)),"")</f>
        <v/>
      </c>
    </row>
    <row r="61" spans="4:7" x14ac:dyDescent="0.25">
      <c r="D61" t="b">
        <f>IF(CANCIONES!$C$5:$C$200=Index!$C$2,ROW())</f>
        <v>0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>
    <tabColor theme="2" tint="-0.499984740745262"/>
  </sheetPr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CANCIONES</vt:lpstr>
      <vt:lpstr>Tabla de la cancion</vt:lpstr>
      <vt:lpstr>OPERACIONES DE FORMULAS</vt:lpstr>
      <vt:lpstr>Formula de busqueda (EJEMPLO)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cp:lastPrinted>2020-04-29T15:48:24Z</cp:lastPrinted>
  <dcterms:created xsi:type="dcterms:W3CDTF">2015-06-05T18:17:20Z</dcterms:created>
  <dcterms:modified xsi:type="dcterms:W3CDTF">2020-04-29T15:56:23Z</dcterms:modified>
</cp:coreProperties>
</file>