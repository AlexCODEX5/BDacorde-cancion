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E:\PortableApps\smartgit-portable\Git_Proyectos\Canciones Vigil\"/>
    </mc:Choice>
  </mc:AlternateContent>
  <xr:revisionPtr revIDLastSave="0" documentId="13_ncr:1_{95674C7C-E412-4854-9261-0E1E5983F989}" xr6:coauthVersionLast="45" xr6:coauthVersionMax="45" xr10:uidLastSave="{00000000-0000-0000-0000-000000000000}"/>
  <bookViews>
    <workbookView xWindow="-120" yWindow="-120" windowWidth="20730" windowHeight="11160" activeTab="1" xr2:uid="{00000000-000D-0000-FFFF-FFFF00000000}"/>
  </bookViews>
  <sheets>
    <sheet name="Index" sheetId="1" r:id="rId1"/>
    <sheet name="IMPRIMIR" sheetId="6" r:id="rId2"/>
    <sheet name="Tabla de la cancion" sheetId="3" r:id="rId3"/>
    <sheet name="OPERACIONES DE FORMULAS" sheetId="5" r:id="rId4"/>
    <sheet name="CANCIONES" sheetId="2" r:id="rId5"/>
    <sheet name="Formula de busqueda" sheetId="4" r:id="rId6"/>
  </sheets>
  <definedNames>
    <definedName name="buscador" comment="='OPERACIONES DE FORMULAS'!$G$5:INDICE('OPERACIONES DE FORMULAS'!$G$5:$G$61;MAX(CANCIONES!$A$5:$A$13);1)">'OPERACIONES DE FORMULAS'!$G$5:INDEX('OPERACIONES DE FORMULAS'!$G$5:$G$61,MAX(CANCIONES!$A$5:$A$13),1)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4" i="6" l="1"/>
  <c r="D4" i="6"/>
  <c r="B4" i="6"/>
  <c r="H3" i="3" l="1"/>
  <c r="H4" i="3"/>
  <c r="H5" i="3"/>
  <c r="H6" i="3"/>
  <c r="H7" i="3"/>
  <c r="H8" i="3"/>
  <c r="H9" i="3"/>
  <c r="H2" i="3"/>
  <c r="B13" i="2" l="1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5" i="5"/>
  <c r="G2" i="3" l="1"/>
  <c r="C10" i="3"/>
  <c r="E10" i="3"/>
  <c r="G10" i="3"/>
  <c r="C11" i="3"/>
  <c r="E11" i="3"/>
  <c r="G11" i="3"/>
  <c r="C12" i="3"/>
  <c r="E12" i="3"/>
  <c r="G12" i="3"/>
  <c r="C13" i="3"/>
  <c r="E13" i="3"/>
  <c r="G13" i="3"/>
  <c r="C14" i="3"/>
  <c r="E14" i="3"/>
  <c r="G14" i="3"/>
  <c r="C15" i="3"/>
  <c r="E15" i="3"/>
  <c r="G15" i="3"/>
  <c r="C16" i="3"/>
  <c r="E16" i="3"/>
  <c r="G16" i="3"/>
  <c r="C17" i="3"/>
  <c r="E17" i="3"/>
  <c r="G17" i="3"/>
  <c r="C18" i="3"/>
  <c r="E18" i="3"/>
  <c r="G18" i="3"/>
  <c r="C19" i="3"/>
  <c r="E19" i="3"/>
  <c r="G19" i="3"/>
  <c r="C20" i="3"/>
  <c r="E20" i="3"/>
  <c r="G20" i="3"/>
  <c r="C21" i="3"/>
  <c r="E21" i="3"/>
  <c r="G21" i="3"/>
  <c r="C22" i="3"/>
  <c r="E22" i="3"/>
  <c r="G22" i="3"/>
  <c r="C3" i="3"/>
  <c r="E3" i="3"/>
  <c r="G3" i="3"/>
  <c r="C4" i="3"/>
  <c r="E4" i="3"/>
  <c r="G4" i="3"/>
  <c r="C5" i="3"/>
  <c r="E5" i="3"/>
  <c r="G5" i="3"/>
  <c r="C6" i="3"/>
  <c r="E6" i="3"/>
  <c r="G6" i="3"/>
  <c r="C7" i="3"/>
  <c r="E7" i="3"/>
  <c r="G7" i="3"/>
  <c r="C8" i="3"/>
  <c r="E8" i="3"/>
  <c r="G8" i="3"/>
  <c r="C9" i="3"/>
  <c r="E9" i="3"/>
  <c r="G9" i="3"/>
  <c r="D2" i="3"/>
  <c r="F2" i="3"/>
  <c r="B2" i="3"/>
  <c r="B10" i="3"/>
  <c r="D10" i="3"/>
  <c r="F10" i="3"/>
  <c r="B11" i="3"/>
  <c r="D11" i="3"/>
  <c r="F11" i="3"/>
  <c r="B12" i="3"/>
  <c r="D12" i="3"/>
  <c r="F12" i="3"/>
  <c r="B13" i="3"/>
  <c r="D13" i="3"/>
  <c r="F13" i="3"/>
  <c r="B14" i="3"/>
  <c r="D14" i="3"/>
  <c r="F14" i="3"/>
  <c r="B15" i="3"/>
  <c r="D15" i="3"/>
  <c r="F15" i="3"/>
  <c r="B16" i="3"/>
  <c r="D16" i="3"/>
  <c r="F16" i="3"/>
  <c r="B17" i="3"/>
  <c r="E2" i="3"/>
  <c r="F9" i="3"/>
  <c r="B9" i="3"/>
  <c r="D8" i="3"/>
  <c r="F7" i="3"/>
  <c r="A7" i="3" s="1"/>
  <c r="B7" i="3"/>
  <c r="D6" i="3"/>
  <c r="F5" i="3"/>
  <c r="B5" i="3"/>
  <c r="D4" i="3"/>
  <c r="F3" i="3"/>
  <c r="A3" i="3" s="1"/>
  <c r="B3" i="3"/>
  <c r="D22" i="3"/>
  <c r="F21" i="3"/>
  <c r="B21" i="3"/>
  <c r="D20" i="3"/>
  <c r="F19" i="3"/>
  <c r="B19" i="3"/>
  <c r="D18" i="3"/>
  <c r="F17" i="3"/>
  <c r="C2" i="3"/>
  <c r="D9" i="3"/>
  <c r="F8" i="3"/>
  <c r="B8" i="3"/>
  <c r="D7" i="3"/>
  <c r="F6" i="3"/>
  <c r="A6" i="3" s="1"/>
  <c r="B6" i="3"/>
  <c r="D5" i="3"/>
  <c r="F4" i="3"/>
  <c r="B4" i="3"/>
  <c r="D3" i="3"/>
  <c r="F22" i="3"/>
  <c r="B22" i="3"/>
  <c r="D21" i="3"/>
  <c r="F20" i="3"/>
  <c r="B20" i="3"/>
  <c r="D19" i="3"/>
  <c r="F18" i="3"/>
  <c r="B18" i="3"/>
  <c r="D17" i="3"/>
  <c r="B5" i="2"/>
  <c r="A13" i="2" s="1"/>
  <c r="L2" i="4"/>
  <c r="I2" i="4"/>
  <c r="I3" i="4"/>
  <c r="I4" i="4"/>
  <c r="I5" i="4"/>
  <c r="I6" i="4"/>
  <c r="I7" i="4"/>
  <c r="I8" i="4"/>
  <c r="I9" i="4"/>
  <c r="I10" i="4"/>
  <c r="I11" i="4"/>
  <c r="I12" i="4"/>
  <c r="I13" i="4"/>
  <c r="I14" i="4"/>
  <c r="A4" i="3" l="1"/>
  <c r="A8" i="3"/>
  <c r="A14" i="3"/>
  <c r="A12" i="3"/>
  <c r="A10" i="3"/>
  <c r="A5" i="3"/>
  <c r="A9" i="3"/>
  <c r="A15" i="3"/>
  <c r="A13" i="3"/>
  <c r="A11" i="3"/>
  <c r="A2" i="3"/>
  <c r="A5" i="2"/>
  <c r="B32" i="3"/>
  <c r="K18" i="3"/>
  <c r="K16" i="3"/>
  <c r="K12" i="3"/>
  <c r="K8" i="3"/>
  <c r="K4" i="3"/>
  <c r="B72" i="3"/>
  <c r="B68" i="3"/>
  <c r="B64" i="3"/>
  <c r="B60" i="3"/>
  <c r="B56" i="3"/>
  <c r="B52" i="3"/>
  <c r="B48" i="3"/>
  <c r="B44" i="3"/>
  <c r="B40" i="3"/>
  <c r="B36" i="3"/>
  <c r="B24" i="3"/>
  <c r="B26" i="3"/>
  <c r="B28" i="3"/>
  <c r="B23" i="3"/>
  <c r="B25" i="3"/>
  <c r="B27" i="3"/>
  <c r="B29" i="3"/>
  <c r="B31" i="3"/>
  <c r="B33" i="3"/>
  <c r="B35" i="3"/>
  <c r="B37" i="3"/>
  <c r="B39" i="3"/>
  <c r="B41" i="3"/>
  <c r="B43" i="3"/>
  <c r="B45" i="3"/>
  <c r="B47" i="3"/>
  <c r="B49" i="3"/>
  <c r="B51" i="3"/>
  <c r="B53" i="3"/>
  <c r="B55" i="3"/>
  <c r="B57" i="3"/>
  <c r="B59" i="3"/>
  <c r="B61" i="3"/>
  <c r="B63" i="3"/>
  <c r="B65" i="3"/>
  <c r="B67" i="3"/>
  <c r="B69" i="3"/>
  <c r="B71" i="3"/>
  <c r="B73" i="3"/>
  <c r="K3" i="3"/>
  <c r="K5" i="3"/>
  <c r="K7" i="3"/>
  <c r="K9" i="3"/>
  <c r="K11" i="3"/>
  <c r="K13" i="3"/>
  <c r="K15" i="3"/>
  <c r="K2" i="3"/>
  <c r="K17" i="3"/>
  <c r="K14" i="3"/>
  <c r="K10" i="3"/>
  <c r="K6" i="3"/>
  <c r="B70" i="3"/>
  <c r="B66" i="3"/>
  <c r="B62" i="3"/>
  <c r="B58" i="3"/>
  <c r="B54" i="3"/>
  <c r="B50" i="3"/>
  <c r="B46" i="3"/>
  <c r="B42" i="3"/>
  <c r="B38" i="3"/>
  <c r="B34" i="3"/>
  <c r="B30" i="3"/>
  <c r="L4" i="4"/>
  <c r="L3" i="4"/>
  <c r="L12" i="4"/>
  <c r="L10" i="4"/>
  <c r="L8" i="4"/>
  <c r="L6" i="4"/>
  <c r="L13" i="4"/>
  <c r="L11" i="4"/>
  <c r="L9" i="4"/>
  <c r="L7" i="4"/>
  <c r="L5" i="4"/>
  <c r="B6" i="1" l="1"/>
  <c r="D6" i="1"/>
  <c r="F6" i="1"/>
  <c r="C7" i="1"/>
  <c r="E7" i="1"/>
  <c r="B8" i="1"/>
  <c r="D8" i="1"/>
  <c r="F8" i="1"/>
  <c r="C9" i="1"/>
  <c r="E9" i="1"/>
  <c r="B10" i="1"/>
  <c r="D10" i="1"/>
  <c r="F10" i="1"/>
  <c r="C11" i="1"/>
  <c r="E11" i="1"/>
  <c r="B12" i="1"/>
  <c r="D12" i="1"/>
  <c r="F12" i="1"/>
  <c r="C13" i="1"/>
  <c r="E13" i="1"/>
  <c r="B14" i="1"/>
  <c r="D14" i="1"/>
  <c r="F14" i="1"/>
  <c r="C15" i="1"/>
  <c r="E15" i="1"/>
  <c r="B16" i="1"/>
  <c r="D16" i="1"/>
  <c r="F16" i="1"/>
  <c r="C17" i="1"/>
  <c r="E17" i="1"/>
  <c r="B18" i="1"/>
  <c r="D18" i="1"/>
  <c r="F18" i="1"/>
  <c r="C19" i="1"/>
  <c r="E19" i="1"/>
  <c r="B20" i="1"/>
  <c r="D20" i="1"/>
  <c r="F20" i="1"/>
  <c r="C21" i="1"/>
  <c r="E21" i="1"/>
  <c r="B22" i="1"/>
  <c r="D22" i="1"/>
  <c r="F22" i="1"/>
  <c r="C23" i="1"/>
  <c r="E23" i="1"/>
  <c r="B24" i="1"/>
  <c r="D24" i="1"/>
  <c r="F24" i="1"/>
  <c r="C25" i="1"/>
  <c r="E25" i="1"/>
  <c r="B26" i="1"/>
  <c r="D26" i="1"/>
  <c r="F26" i="1"/>
  <c r="C27" i="1"/>
  <c r="E27" i="1"/>
  <c r="B28" i="1"/>
  <c r="D28" i="1"/>
  <c r="F28" i="1"/>
  <c r="C29" i="1"/>
  <c r="E29" i="1"/>
  <c r="B30" i="1"/>
  <c r="D30" i="1"/>
  <c r="F30" i="1"/>
  <c r="C31" i="1"/>
  <c r="E31" i="1"/>
  <c r="B32" i="1"/>
  <c r="D32" i="1"/>
  <c r="F32" i="1"/>
  <c r="C33" i="1"/>
  <c r="E33" i="1"/>
  <c r="B34" i="1"/>
  <c r="D34" i="1"/>
  <c r="F34" i="1"/>
  <c r="C35" i="1"/>
  <c r="E35" i="1"/>
  <c r="B36" i="1"/>
  <c r="D36" i="1"/>
  <c r="F36" i="1"/>
  <c r="C37" i="1"/>
  <c r="E37" i="1"/>
  <c r="B38" i="1"/>
  <c r="D38" i="1"/>
  <c r="F38" i="1"/>
  <c r="C39" i="1"/>
  <c r="E39" i="1"/>
  <c r="C6" i="1"/>
  <c r="B7" i="1"/>
  <c r="F7" i="1"/>
  <c r="E8" i="1"/>
  <c r="D9" i="1"/>
  <c r="C10" i="1"/>
  <c r="B11" i="1"/>
  <c r="F11" i="1"/>
  <c r="E12" i="1"/>
  <c r="D13" i="1"/>
  <c r="C14" i="1"/>
  <c r="B15" i="1"/>
  <c r="F15" i="1"/>
  <c r="E16" i="1"/>
  <c r="D17" i="1"/>
  <c r="C18" i="1"/>
  <c r="B19" i="1"/>
  <c r="F19" i="1"/>
  <c r="E20" i="1"/>
  <c r="D21" i="1"/>
  <c r="C22" i="1"/>
  <c r="B23" i="1"/>
  <c r="F23" i="1"/>
  <c r="E24" i="1"/>
  <c r="D25" i="1"/>
  <c r="C26" i="1"/>
  <c r="B27" i="1"/>
  <c r="F27" i="1"/>
  <c r="E28" i="1"/>
  <c r="D29" i="1"/>
  <c r="C30" i="1"/>
  <c r="B31" i="1"/>
  <c r="F31" i="1"/>
  <c r="E32" i="1"/>
  <c r="D33" i="1"/>
  <c r="C34" i="1"/>
  <c r="B35" i="1"/>
  <c r="F35" i="1"/>
  <c r="E36" i="1"/>
  <c r="D37" i="1"/>
  <c r="C38" i="1"/>
  <c r="B39" i="1"/>
  <c r="F39" i="1"/>
  <c r="C40" i="1"/>
  <c r="E40" i="1"/>
  <c r="B41" i="1"/>
  <c r="D41" i="1"/>
  <c r="F41" i="1"/>
  <c r="C42" i="1"/>
  <c r="E42" i="1"/>
  <c r="B43" i="1"/>
  <c r="D43" i="1"/>
  <c r="F43" i="1"/>
  <c r="C44" i="1"/>
  <c r="E44" i="1"/>
  <c r="B45" i="1"/>
  <c r="D45" i="1"/>
  <c r="F45" i="1"/>
  <c r="C46" i="1"/>
  <c r="E46" i="1"/>
  <c r="B47" i="1"/>
  <c r="D47" i="1"/>
  <c r="F47" i="1"/>
  <c r="C48" i="1"/>
  <c r="E48" i="1"/>
  <c r="B49" i="1"/>
  <c r="D49" i="1"/>
  <c r="F49" i="1"/>
  <c r="C50" i="1"/>
  <c r="E50" i="1"/>
  <c r="B51" i="1"/>
  <c r="D51" i="1"/>
  <c r="F51" i="1"/>
  <c r="C52" i="1"/>
  <c r="E52" i="1"/>
  <c r="B53" i="1"/>
  <c r="D53" i="1"/>
  <c r="F53" i="1"/>
  <c r="C54" i="1"/>
  <c r="E54" i="1"/>
  <c r="B55" i="1"/>
  <c r="D55" i="1"/>
  <c r="F55" i="1"/>
  <c r="C56" i="1"/>
  <c r="E56" i="1"/>
  <c r="B57" i="1"/>
  <c r="D57" i="1"/>
  <c r="F57" i="1"/>
  <c r="C58" i="1"/>
  <c r="E58" i="1"/>
  <c r="B59" i="1"/>
  <c r="D59" i="1"/>
  <c r="F59" i="1"/>
  <c r="C60" i="1"/>
  <c r="E60" i="1"/>
  <c r="B61" i="1"/>
  <c r="D61" i="1"/>
  <c r="F61" i="1"/>
  <c r="C62" i="1"/>
  <c r="E62" i="1"/>
  <c r="B63" i="1"/>
  <c r="D63" i="1"/>
  <c r="F63" i="1"/>
  <c r="C64" i="1"/>
  <c r="E64" i="1"/>
  <c r="B65" i="1"/>
  <c r="D65" i="1"/>
  <c r="F65" i="1"/>
  <c r="C66" i="1"/>
  <c r="E66" i="1"/>
  <c r="B67" i="1"/>
  <c r="D67" i="1"/>
  <c r="F67" i="1"/>
  <c r="C68" i="1"/>
  <c r="E68" i="1"/>
  <c r="B69" i="1"/>
  <c r="D69" i="1"/>
  <c r="F69" i="1"/>
  <c r="C70" i="1"/>
  <c r="E70" i="1"/>
  <c r="B71" i="1"/>
  <c r="D71" i="1"/>
  <c r="F71" i="1"/>
  <c r="C72" i="1"/>
  <c r="E72" i="1"/>
  <c r="B73" i="1"/>
  <c r="D73" i="1"/>
  <c r="F73" i="1"/>
  <c r="C74" i="1"/>
  <c r="E74" i="1"/>
  <c r="B75" i="1"/>
  <c r="D75" i="1"/>
  <c r="F75" i="1"/>
  <c r="C76" i="1"/>
  <c r="E76" i="1"/>
  <c r="B77" i="1"/>
  <c r="D77" i="1"/>
  <c r="F77" i="1"/>
  <c r="C78" i="1"/>
  <c r="E78" i="1"/>
  <c r="B79" i="1"/>
  <c r="D79" i="1"/>
  <c r="F79" i="1"/>
  <c r="C80" i="1"/>
  <c r="E80" i="1"/>
  <c r="B81" i="1"/>
  <c r="D81" i="1"/>
  <c r="F81" i="1"/>
  <c r="C82" i="1"/>
  <c r="E82" i="1"/>
  <c r="B83" i="1"/>
  <c r="D83" i="1"/>
  <c r="F83" i="1"/>
  <c r="C84" i="1"/>
  <c r="E84" i="1"/>
  <c r="B85" i="1"/>
  <c r="D85" i="1"/>
  <c r="F85" i="1"/>
  <c r="C86" i="1"/>
  <c r="E86" i="1"/>
  <c r="B87" i="1"/>
  <c r="D87" i="1"/>
  <c r="F87" i="1"/>
  <c r="C88" i="1"/>
  <c r="E88" i="1"/>
  <c r="B89" i="1"/>
  <c r="D89" i="1"/>
  <c r="F89" i="1"/>
  <c r="C90" i="1"/>
  <c r="E90" i="1"/>
  <c r="E6" i="1"/>
  <c r="C8" i="1"/>
  <c r="F9" i="1"/>
  <c r="D11" i="1"/>
  <c r="B13" i="1"/>
  <c r="E14" i="1"/>
  <c r="C16" i="1"/>
  <c r="F17" i="1"/>
  <c r="D19" i="1"/>
  <c r="B21" i="1"/>
  <c r="E22" i="1"/>
  <c r="C24" i="1"/>
  <c r="F25" i="1"/>
  <c r="D27" i="1"/>
  <c r="B29" i="1"/>
  <c r="E30" i="1"/>
  <c r="C32" i="1"/>
  <c r="F33" i="1"/>
  <c r="D35" i="1"/>
  <c r="B37" i="1"/>
  <c r="E38" i="1"/>
  <c r="B40" i="1"/>
  <c r="F40" i="1"/>
  <c r="E41" i="1"/>
  <c r="D42" i="1"/>
  <c r="C43" i="1"/>
  <c r="B44" i="1"/>
  <c r="F44" i="1"/>
  <c r="E45" i="1"/>
  <c r="D46" i="1"/>
  <c r="C47" i="1"/>
  <c r="B48" i="1"/>
  <c r="F48" i="1"/>
  <c r="E49" i="1"/>
  <c r="D50" i="1"/>
  <c r="C51" i="1"/>
  <c r="B52" i="1"/>
  <c r="F52" i="1"/>
  <c r="E53" i="1"/>
  <c r="D54" i="1"/>
  <c r="C55" i="1"/>
  <c r="B56" i="1"/>
  <c r="F56" i="1"/>
  <c r="E57" i="1"/>
  <c r="D58" i="1"/>
  <c r="C59" i="1"/>
  <c r="B60" i="1"/>
  <c r="F60" i="1"/>
  <c r="E61" i="1"/>
  <c r="D62" i="1"/>
  <c r="C63" i="1"/>
  <c r="B64" i="1"/>
  <c r="F64" i="1"/>
  <c r="E65" i="1"/>
  <c r="D66" i="1"/>
  <c r="C67" i="1"/>
  <c r="B68" i="1"/>
  <c r="F68" i="1"/>
  <c r="E69" i="1"/>
  <c r="D70" i="1"/>
  <c r="C71" i="1"/>
  <c r="B72" i="1"/>
  <c r="F72" i="1"/>
  <c r="E73" i="1"/>
  <c r="D74" i="1"/>
  <c r="C75" i="1"/>
  <c r="B76" i="1"/>
  <c r="F76" i="1"/>
  <c r="E77" i="1"/>
  <c r="D78" i="1"/>
  <c r="C79" i="1"/>
  <c r="B80" i="1"/>
  <c r="F80" i="1"/>
  <c r="E81" i="1"/>
  <c r="D82" i="1"/>
  <c r="C83" i="1"/>
  <c r="B84" i="1"/>
  <c r="F84" i="1"/>
  <c r="E85" i="1"/>
  <c r="D86" i="1"/>
  <c r="C87" i="1"/>
  <c r="B88" i="1"/>
  <c r="F88" i="1"/>
  <c r="E89" i="1"/>
  <c r="D90" i="1"/>
  <c r="B91" i="1"/>
  <c r="D91" i="1"/>
  <c r="F91" i="1"/>
  <c r="C92" i="1"/>
  <c r="E92" i="1"/>
  <c r="B93" i="1"/>
  <c r="D93" i="1"/>
  <c r="F93" i="1"/>
  <c r="C94" i="1"/>
  <c r="E94" i="1"/>
  <c r="B95" i="1"/>
  <c r="D95" i="1"/>
  <c r="F95" i="1"/>
  <c r="C96" i="1"/>
  <c r="E96" i="1"/>
  <c r="B97" i="1"/>
  <c r="D97" i="1"/>
  <c r="F97" i="1"/>
  <c r="C98" i="1"/>
  <c r="E98" i="1"/>
  <c r="B99" i="1"/>
  <c r="D99" i="1"/>
  <c r="F99" i="1"/>
  <c r="C100" i="1"/>
  <c r="E100" i="1"/>
  <c r="B101" i="1"/>
  <c r="D101" i="1"/>
  <c r="F101" i="1"/>
  <c r="C102" i="1"/>
  <c r="E102" i="1"/>
  <c r="B103" i="1"/>
  <c r="D103" i="1"/>
  <c r="F103" i="1"/>
  <c r="C104" i="1"/>
  <c r="E104" i="1"/>
  <c r="B105" i="1"/>
  <c r="D105" i="1"/>
  <c r="F105" i="1"/>
  <c r="C106" i="1"/>
  <c r="E106" i="1"/>
  <c r="B107" i="1"/>
  <c r="D107" i="1"/>
  <c r="F107" i="1"/>
  <c r="D7" i="1"/>
  <c r="B9" i="1"/>
  <c r="E10" i="1"/>
  <c r="C12" i="1"/>
  <c r="F13" i="1"/>
  <c r="D15" i="1"/>
  <c r="B17" i="1"/>
  <c r="E18" i="1"/>
  <c r="C20" i="1"/>
  <c r="F21" i="1"/>
  <c r="D23" i="1"/>
  <c r="B25" i="1"/>
  <c r="E26" i="1"/>
  <c r="C28" i="1"/>
  <c r="F29" i="1"/>
  <c r="D31" i="1"/>
  <c r="B33" i="1"/>
  <c r="E34" i="1"/>
  <c r="C36" i="1"/>
  <c r="F37" i="1"/>
  <c r="D39" i="1"/>
  <c r="D40" i="1"/>
  <c r="C41" i="1"/>
  <c r="B42" i="1"/>
  <c r="F42" i="1"/>
  <c r="E43" i="1"/>
  <c r="D44" i="1"/>
  <c r="C45" i="1"/>
  <c r="B46" i="1"/>
  <c r="F46" i="1"/>
  <c r="E47" i="1"/>
  <c r="D48" i="1"/>
  <c r="C49" i="1"/>
  <c r="B50" i="1"/>
  <c r="F50" i="1"/>
  <c r="E51" i="1"/>
  <c r="D52" i="1"/>
  <c r="C53" i="1"/>
  <c r="B54" i="1"/>
  <c r="F54" i="1"/>
  <c r="E55" i="1"/>
  <c r="D56" i="1"/>
  <c r="C57" i="1"/>
  <c r="B58" i="1"/>
  <c r="F58" i="1"/>
  <c r="E59" i="1"/>
  <c r="D60" i="1"/>
  <c r="C61" i="1"/>
  <c r="B62" i="1"/>
  <c r="F62" i="1"/>
  <c r="E63" i="1"/>
  <c r="D64" i="1"/>
  <c r="C65" i="1"/>
  <c r="B66" i="1"/>
  <c r="F66" i="1"/>
  <c r="E67" i="1"/>
  <c r="D68" i="1"/>
  <c r="C69" i="1"/>
  <c r="B70" i="1"/>
  <c r="F70" i="1"/>
  <c r="E71" i="1"/>
  <c r="D72" i="1"/>
  <c r="C73" i="1"/>
  <c r="B74" i="1"/>
  <c r="F74" i="1"/>
  <c r="E75" i="1"/>
  <c r="D76" i="1"/>
  <c r="C77" i="1"/>
  <c r="B78" i="1"/>
  <c r="F78" i="1"/>
  <c r="E79" i="1"/>
  <c r="D80" i="1"/>
  <c r="C81" i="1"/>
  <c r="B82" i="1"/>
  <c r="F82" i="1"/>
  <c r="E83" i="1"/>
  <c r="D84" i="1"/>
  <c r="C85" i="1"/>
  <c r="B86" i="1"/>
  <c r="F86" i="1"/>
  <c r="E87" i="1"/>
  <c r="D88" i="1"/>
  <c r="C89" i="1"/>
  <c r="B90" i="1"/>
  <c r="F90" i="1"/>
  <c r="C91" i="1"/>
  <c r="E91" i="1"/>
  <c r="B92" i="1"/>
  <c r="D92" i="1"/>
  <c r="F92" i="1"/>
  <c r="C93" i="1"/>
  <c r="E93" i="1"/>
  <c r="B94" i="1"/>
  <c r="D94" i="1"/>
  <c r="F94" i="1"/>
  <c r="C95" i="1"/>
  <c r="E95" i="1"/>
  <c r="B96" i="1"/>
  <c r="D96" i="1"/>
  <c r="F96" i="1"/>
  <c r="C97" i="1"/>
  <c r="E97" i="1"/>
  <c r="B98" i="1"/>
  <c r="D98" i="1"/>
  <c r="F98" i="1"/>
  <c r="C99" i="1"/>
  <c r="E99" i="1"/>
  <c r="B100" i="1"/>
  <c r="D100" i="1"/>
  <c r="F100" i="1"/>
  <c r="C101" i="1"/>
  <c r="E101" i="1"/>
  <c r="B102" i="1"/>
  <c r="D102" i="1"/>
  <c r="F102" i="1"/>
  <c r="C103" i="1"/>
  <c r="E103" i="1"/>
  <c r="B104" i="1"/>
  <c r="D104" i="1"/>
  <c r="F104" i="1"/>
  <c r="C105" i="1"/>
  <c r="E105" i="1"/>
  <c r="B106" i="1"/>
  <c r="D106" i="1"/>
  <c r="F106" i="1"/>
  <c r="C107" i="1"/>
  <c r="E107" i="1"/>
  <c r="F4" i="1"/>
  <c r="F5" i="1"/>
  <c r="B5" i="1"/>
  <c r="C5" i="1"/>
  <c r="E5" i="1"/>
  <c r="D5" i="1"/>
  <c r="C4" i="1"/>
  <c r="E4" i="1"/>
  <c r="D4" i="1"/>
  <c r="B4" i="1"/>
  <c r="G6" i="5"/>
  <c r="G8" i="5"/>
  <c r="G10" i="5"/>
  <c r="G12" i="5"/>
  <c r="G14" i="5"/>
  <c r="G16" i="5"/>
  <c r="G18" i="5"/>
  <c r="G20" i="5"/>
  <c r="G22" i="5"/>
  <c r="G24" i="5"/>
  <c r="G26" i="5"/>
  <c r="G28" i="5"/>
  <c r="G30" i="5"/>
  <c r="G32" i="5"/>
  <c r="G34" i="5"/>
  <c r="G36" i="5"/>
  <c r="G38" i="5"/>
  <c r="G40" i="5"/>
  <c r="G42" i="5"/>
  <c r="G44" i="5"/>
  <c r="G46" i="5"/>
  <c r="G48" i="5"/>
  <c r="G50" i="5"/>
  <c r="G52" i="5"/>
  <c r="G54" i="5"/>
  <c r="G56" i="5"/>
  <c r="G58" i="5"/>
  <c r="G60" i="5"/>
  <c r="G5" i="5"/>
  <c r="G7" i="5"/>
  <c r="G9" i="5"/>
  <c r="G11" i="5"/>
  <c r="G13" i="5"/>
  <c r="G15" i="5"/>
  <c r="G17" i="5"/>
  <c r="G19" i="5"/>
  <c r="G21" i="5"/>
  <c r="G23" i="5"/>
  <c r="G25" i="5"/>
  <c r="G27" i="5"/>
  <c r="G29" i="5"/>
  <c r="G31" i="5"/>
  <c r="G33" i="5"/>
  <c r="G35" i="5"/>
  <c r="G37" i="5"/>
  <c r="G39" i="5"/>
  <c r="G41" i="5"/>
  <c r="G43" i="5"/>
  <c r="G45" i="5"/>
  <c r="G47" i="5"/>
  <c r="G49" i="5"/>
  <c r="G51" i="5"/>
  <c r="G53" i="5"/>
  <c r="G55" i="5"/>
  <c r="G57" i="5"/>
  <c r="G59" i="5"/>
  <c r="G61" i="5"/>
</calcChain>
</file>

<file path=xl/sharedStrings.xml><?xml version="1.0" encoding="utf-8"?>
<sst xmlns="http://schemas.openxmlformats.org/spreadsheetml/2006/main" count="122" uniqueCount="104">
  <si>
    <t>Verso</t>
  </si>
  <si>
    <t>Acorde</t>
  </si>
  <si>
    <t>E</t>
  </si>
  <si>
    <t>N° Tiempo</t>
  </si>
  <si>
    <t>Partes de Compas:</t>
  </si>
  <si>
    <t>1 Tiempo</t>
  </si>
  <si>
    <t>2 Tiempo</t>
  </si>
  <si>
    <t>3 Tiempo</t>
  </si>
  <si>
    <t>4 Tiempo</t>
  </si>
  <si>
    <t>Acordes</t>
  </si>
  <si>
    <t>Parte del verso…</t>
  </si>
  <si>
    <t>N° Compas</t>
  </si>
  <si>
    <t>C</t>
  </si>
  <si>
    <t>G</t>
  </si>
  <si>
    <t>D</t>
  </si>
  <si>
    <t>Shawtys like a melo</t>
  </si>
  <si>
    <t xml:space="preserve">na ra na na </t>
  </si>
  <si>
    <t>every day</t>
  </si>
  <si>
    <t xml:space="preserve">Its like my ipod </t>
  </si>
  <si>
    <t>stuck-on replay</t>
  </si>
  <si>
    <t>Cancion:</t>
  </si>
  <si>
    <t>Replay</t>
  </si>
  <si>
    <t xml:space="preserve">dy in my </t>
  </si>
  <si>
    <t>head that i cant keep</t>
  </si>
  <si>
    <t>out got me singing like</t>
  </si>
  <si>
    <t>1 COMPAS</t>
  </si>
  <si>
    <t>Cancion</t>
  </si>
  <si>
    <t>Partes del compas</t>
  </si>
  <si>
    <t>Calificacion</t>
  </si>
  <si>
    <t>Nombre</t>
  </si>
  <si>
    <t>Ariana</t>
  </si>
  <si>
    <t>Jorge</t>
  </si>
  <si>
    <t>Lucia</t>
  </si>
  <si>
    <t>Diana</t>
  </si>
  <si>
    <t>Roberto</t>
  </si>
  <si>
    <t>Diego</t>
  </si>
  <si>
    <t>Rubi</t>
  </si>
  <si>
    <t>Juliana</t>
  </si>
  <si>
    <t>Justa</t>
  </si>
  <si>
    <t>Indicio de busqueda:</t>
  </si>
  <si>
    <t>Nombres:</t>
  </si>
  <si>
    <t>FILAS DETECTADAS</t>
  </si>
  <si>
    <t>Buscador</t>
  </si>
  <si>
    <t>Prioridad del buscador</t>
  </si>
  <si>
    <t>CANCIONES DETECTADAS</t>
  </si>
  <si>
    <t>Otra cancion</t>
  </si>
  <si>
    <t/>
  </si>
  <si>
    <t>Filas encontradas (CANCIONES)</t>
  </si>
  <si>
    <t>ID</t>
  </si>
  <si>
    <t>FILA</t>
  </si>
  <si>
    <t>Hola</t>
  </si>
  <si>
    <t>A</t>
  </si>
  <si>
    <t xml:space="preserve"> 2 COMPAS</t>
  </si>
  <si>
    <t>3 COMPAS</t>
  </si>
  <si>
    <t>4 COMPAS</t>
  </si>
  <si>
    <t>1 COMPÁS</t>
  </si>
  <si>
    <t>5 COMPÁS</t>
  </si>
  <si>
    <t>6 COMPÁS</t>
  </si>
  <si>
    <t>7 COMPÁS</t>
  </si>
  <si>
    <t>8 COMPÁS</t>
  </si>
  <si>
    <t>9 COMPÁS</t>
  </si>
  <si>
    <t>10 COMPÁS</t>
  </si>
  <si>
    <t>11 COMPÁS</t>
  </si>
  <si>
    <t>12 COMPÁS</t>
  </si>
  <si>
    <t>13 COMPÁS</t>
  </si>
  <si>
    <t>14 COMPÁS</t>
  </si>
  <si>
    <t>15 COMPÁS</t>
  </si>
  <si>
    <t>16 COMPÁS</t>
  </si>
  <si>
    <t>17 COMPÁS</t>
  </si>
  <si>
    <t>18 COMPÁS</t>
  </si>
  <si>
    <t>19 COMPÁS</t>
  </si>
  <si>
    <t>20 COMPÁS</t>
  </si>
  <si>
    <t>21 COMPÁS</t>
  </si>
  <si>
    <t>22 COMPÁS</t>
  </si>
  <si>
    <t>23 COMPÁS</t>
  </si>
  <si>
    <t>24 COMPÁS</t>
  </si>
  <si>
    <t>25 COMPÁS</t>
  </si>
  <si>
    <t>26 COMPÁS</t>
  </si>
  <si>
    <t>27 COMPÁS</t>
  </si>
  <si>
    <t>28 COMPÁS</t>
  </si>
  <si>
    <t>29 COMPÁS</t>
  </si>
  <si>
    <t>30 COMPÁS</t>
  </si>
  <si>
    <t>31 COMPÁS</t>
  </si>
  <si>
    <t>32 COMPÁS</t>
  </si>
  <si>
    <t>33 COMPÁS</t>
  </si>
  <si>
    <t>34 COMPÁS</t>
  </si>
  <si>
    <t>35 COMPÁS</t>
  </si>
  <si>
    <t>36 COMPÁS</t>
  </si>
  <si>
    <t>37 COMPÁS</t>
  </si>
  <si>
    <t>38 COMPÁS</t>
  </si>
  <si>
    <t>39 COMPÁS</t>
  </si>
  <si>
    <t>40 COMPÁS</t>
  </si>
  <si>
    <t>41 COMPÁS</t>
  </si>
  <si>
    <t>42 COMPÁS</t>
  </si>
  <si>
    <t>43 COMPÁS</t>
  </si>
  <si>
    <t>44 COMPÁS</t>
  </si>
  <si>
    <t>45 COMPÁS</t>
  </si>
  <si>
    <t>46 COMPÁS</t>
  </si>
  <si>
    <t>47 COMPÁS</t>
  </si>
  <si>
    <t>48 COMPÁS</t>
  </si>
  <si>
    <t>49 COMPÁS</t>
  </si>
  <si>
    <t>50 COMPÁS</t>
  </si>
  <si>
    <t>51 COMPÁS</t>
  </si>
  <si>
    <t>52 COMPÁS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</si>
</sst>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FF"/>
      <name val="Arial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6F8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5FFEF"/>
        <bgColor indexed="64"/>
      </patternFill>
    </fill>
    <fill>
      <patternFill patternType="solid">
        <fgColor rgb="FFC5FFE9"/>
        <bgColor indexed="64"/>
      </patternFill>
    </fill>
    <fill>
      <patternFill patternType="solid">
        <fgColor rgb="FFAFFFE1"/>
        <bgColor indexed="64"/>
      </patternFill>
    </fill>
    <fill>
      <patternFill patternType="solid">
        <fgColor rgb="FF9BFFD9"/>
        <bgColor indexed="64"/>
      </patternFill>
    </fill>
    <fill>
      <patternFill patternType="solid">
        <fgColor rgb="FF81FFCF"/>
        <bgColor indexed="64"/>
      </patternFill>
    </fill>
    <fill>
      <patternFill patternType="solid">
        <fgColor rgb="FFFFD6BD"/>
        <bgColor indexed="64"/>
      </patternFill>
    </fill>
    <fill>
      <patternFill patternType="solid">
        <fgColor rgb="FFFDFFBD"/>
        <bgColor indexed="64"/>
      </patternFill>
    </fill>
    <fill>
      <patternFill patternType="solid">
        <fgColor rgb="FFC6FFBD"/>
        <bgColor indexed="64"/>
      </patternFill>
    </fill>
    <fill>
      <patternFill patternType="solid">
        <fgColor rgb="FFCDFDFF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mediumDashed">
        <color indexed="64"/>
      </bottom>
      <diagonal/>
    </border>
    <border>
      <left/>
      <right/>
      <top style="mediumDashed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0" borderId="3" xfId="0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3" xfId="0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0" fillId="0" borderId="4" xfId="0" applyFill="1" applyBorder="1" applyAlignment="1">
      <alignment horizontal="center"/>
    </xf>
    <xf numFmtId="0" fontId="2" fillId="9" borderId="3" xfId="0" applyFont="1" applyFill="1" applyBorder="1"/>
    <xf numFmtId="0" fontId="0" fillId="0" borderId="3" xfId="0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4" xfId="0" applyFill="1" applyBorder="1"/>
    <xf numFmtId="0" fontId="0" fillId="2" borderId="0" xfId="0" applyFill="1" applyAlignment="1">
      <alignment horizontal="center" vertical="center"/>
    </xf>
    <xf numFmtId="0" fontId="0" fillId="8" borderId="1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0" fontId="0" fillId="10" borderId="10" xfId="0" applyFill="1" applyBorder="1" applyAlignment="1">
      <alignment horizontal="center" vertical="center"/>
    </xf>
    <xf numFmtId="0" fontId="0" fillId="10" borderId="7" xfId="0" applyFill="1" applyBorder="1" applyAlignment="1">
      <alignment horizontal="center" vertical="center"/>
    </xf>
    <xf numFmtId="0" fontId="0" fillId="11" borderId="11" xfId="0" applyFill="1" applyBorder="1" applyAlignment="1">
      <alignment horizontal="center" vertical="center"/>
    </xf>
    <xf numFmtId="0" fontId="0" fillId="11" borderId="7" xfId="0" applyFill="1" applyBorder="1" applyAlignment="1">
      <alignment horizontal="center" vertical="center"/>
    </xf>
    <xf numFmtId="0" fontId="0" fillId="12" borderId="11" xfId="0" applyFill="1" applyBorder="1" applyAlignment="1">
      <alignment horizontal="center" vertical="center"/>
    </xf>
    <xf numFmtId="0" fontId="0" fillId="12" borderId="7" xfId="0" applyFill="1" applyBorder="1" applyAlignment="1">
      <alignment horizontal="center" vertical="center"/>
    </xf>
    <xf numFmtId="0" fontId="0" fillId="13" borderId="11" xfId="0" applyFill="1" applyBorder="1" applyAlignment="1">
      <alignment horizontal="center" vertical="center"/>
    </xf>
    <xf numFmtId="0" fontId="0" fillId="13" borderId="7" xfId="0" applyFill="1" applyBorder="1" applyAlignment="1">
      <alignment horizontal="center" vertical="center"/>
    </xf>
    <xf numFmtId="0" fontId="4" fillId="20" borderId="8" xfId="0" quotePrefix="1" applyFont="1" applyFill="1" applyBorder="1" applyAlignment="1">
      <alignment horizontal="left" indent="1"/>
    </xf>
    <xf numFmtId="0" fontId="4" fillId="21" borderId="5" xfId="0" quotePrefix="1" applyFont="1" applyFill="1" applyBorder="1" applyAlignment="1">
      <alignment horizontal="left" indent="1"/>
    </xf>
    <xf numFmtId="0" fontId="4" fillId="22" borderId="5" xfId="0" quotePrefix="1" applyFont="1" applyFill="1" applyBorder="1" applyAlignment="1">
      <alignment horizontal="left" indent="1"/>
    </xf>
    <xf numFmtId="0" fontId="4" fillId="23" borderId="5" xfId="0" quotePrefix="1" applyFont="1" applyFill="1" applyBorder="1" applyAlignment="1">
      <alignment horizontal="left" indent="1"/>
    </xf>
    <xf numFmtId="0" fontId="5" fillId="15" borderId="9" xfId="0" quotePrefix="1" applyFont="1" applyFill="1" applyBorder="1" applyAlignment="1">
      <alignment horizontal="left" indent="1"/>
    </xf>
    <xf numFmtId="0" fontId="5" fillId="16" borderId="6" xfId="0" quotePrefix="1" applyFont="1" applyFill="1" applyBorder="1" applyAlignment="1">
      <alignment horizontal="left" indent="1"/>
    </xf>
    <xf numFmtId="0" fontId="5" fillId="17" borderId="6" xfId="0" quotePrefix="1" applyFont="1" applyFill="1" applyBorder="1" applyAlignment="1">
      <alignment horizontal="left" indent="1"/>
    </xf>
    <xf numFmtId="0" fontId="5" fillId="18" borderId="6" xfId="0" quotePrefix="1" applyFont="1" applyFill="1" applyBorder="1" applyAlignment="1">
      <alignment horizontal="left" indent="1"/>
    </xf>
    <xf numFmtId="0" fontId="3" fillId="14" borderId="5" xfId="0" quotePrefix="1" applyFont="1" applyFill="1" applyBorder="1" applyAlignment="1">
      <alignment horizontal="left" indent="1"/>
    </xf>
    <xf numFmtId="0" fontId="5" fillId="19" borderId="6" xfId="0" quotePrefix="1" applyFont="1" applyFill="1" applyBorder="1" applyAlignment="1">
      <alignment horizontal="left" indent="1"/>
    </xf>
  </cellXfs>
  <cellStyles count="1">
    <cellStyle name="Normal" xfId="0" builtinId="0"/>
  </cellStyles>
  <dxfs count="1">
    <dxf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</dxfs>
  <tableStyles count="0" defaultTableStyle="TableStyleMedium2" defaultPivotStyle="PivotStyleLight16"/>
  <colors>
    <mruColors>
      <color rgb="FFCDFDFF"/>
      <color rgb="FFC6FFBD"/>
      <color rgb="FFFDFFBD"/>
      <color rgb="FFFFD6BD"/>
      <color rgb="FF81FFCF"/>
      <color rgb="FF9BFFD9"/>
      <color rgb="FFAFFFE1"/>
      <color rgb="FFC5FFE9"/>
      <color rgb="FFD5FFEF"/>
      <color rgb="FF92D6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171450</xdr:rowOff>
        </xdr:from>
        <xdr:to>
          <xdr:col>4</xdr:col>
          <xdr:colOff>333375</xdr:colOff>
          <xdr:row>2</xdr:row>
          <xdr:rowOff>38100</xdr:rowOff>
        </xdr:to>
        <xdr:sp macro="" textlink="">
          <xdr:nvSpPr>
            <xdr:cNvPr id="1025" name="Combo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F107"/>
  <sheetViews>
    <sheetView workbookViewId="0">
      <selection activeCell="E5" sqref="E5"/>
    </sheetView>
  </sheetViews>
  <sheetFormatPr baseColWidth="10" defaultColWidth="9.140625" defaultRowHeight="18.75" customHeight="1" x14ac:dyDescent="0.25"/>
  <cols>
    <col min="1" max="1" width="24.42578125" style="17" customWidth="1"/>
    <col min="2" max="6" width="27.140625" customWidth="1"/>
    <col min="7" max="7" width="22.42578125" customWidth="1"/>
  </cols>
  <sheetData>
    <row r="1" spans="1:6" ht="15" x14ac:dyDescent="0.25"/>
    <row r="2" spans="1:6" ht="15" x14ac:dyDescent="0.25">
      <c r="B2" s="2" t="s">
        <v>20</v>
      </c>
      <c r="C2" t="s">
        <v>46</v>
      </c>
    </row>
    <row r="3" spans="1:6" ht="15" x14ac:dyDescent="0.25"/>
    <row r="4" spans="1:6" ht="18.75" customHeight="1" x14ac:dyDescent="0.3">
      <c r="A4" s="23" t="s">
        <v>55</v>
      </c>
      <c r="B4" s="3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4" s="3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4" s="33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4" s="34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4" s="39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5" spans="1:6" ht="18.75" customHeight="1" thickBot="1" x14ac:dyDescent="0.35">
      <c r="A5" s="24"/>
      <c r="B5" s="3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5" s="3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5" s="37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5" s="38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5" s="40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6" spans="1:6" ht="18.75" customHeight="1" x14ac:dyDescent="0.3">
      <c r="A6" s="25" t="s">
        <v>52</v>
      </c>
      <c r="B6" s="3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6" s="3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6" s="33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6" s="34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6" s="39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7" spans="1:6" ht="18.75" customHeight="1" thickBot="1" x14ac:dyDescent="0.35">
      <c r="A7" s="26"/>
      <c r="B7" s="3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7" s="3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7" s="37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7" s="38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7" s="40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8" spans="1:6" ht="18.75" customHeight="1" x14ac:dyDescent="0.3">
      <c r="A8" s="27" t="s">
        <v>53</v>
      </c>
      <c r="B8" s="3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8" s="3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8" s="33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8" s="34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8" s="39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9" spans="1:6" ht="18.75" customHeight="1" thickBot="1" x14ac:dyDescent="0.35">
      <c r="A9" s="28"/>
      <c r="B9" s="3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9" s="3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9" s="37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9" s="38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9" s="40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10" spans="1:6" ht="18.75" customHeight="1" x14ac:dyDescent="0.3">
      <c r="A10" s="29" t="s">
        <v>54</v>
      </c>
      <c r="B10" s="3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10" s="3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10" s="33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10" s="34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10" s="39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11" spans="1:6" ht="18.75" customHeight="1" thickBot="1" x14ac:dyDescent="0.35">
      <c r="A11" s="30"/>
      <c r="B11" s="3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11" s="3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11" s="37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11" s="38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11" s="40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12" spans="1:6" ht="18.75" customHeight="1" x14ac:dyDescent="0.3">
      <c r="A12" s="23" t="s">
        <v>56</v>
      </c>
      <c r="B12" s="3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12" s="3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12" s="33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12" s="34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12" s="39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13" spans="1:6" ht="18.75" customHeight="1" thickBot="1" x14ac:dyDescent="0.35">
      <c r="A13" s="24"/>
      <c r="B13" s="3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13" s="3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13" s="37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13" s="38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13" s="40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14" spans="1:6" ht="18.75" customHeight="1" x14ac:dyDescent="0.3">
      <c r="A14" s="25" t="s">
        <v>57</v>
      </c>
      <c r="B14" s="3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14" s="3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14" s="33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14" s="34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14" s="39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15" spans="1:6" ht="18.75" customHeight="1" thickBot="1" x14ac:dyDescent="0.35">
      <c r="A15" s="26"/>
      <c r="B15" s="3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15" s="3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15" s="37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15" s="38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15" s="40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16" spans="1:6" ht="18.75" customHeight="1" x14ac:dyDescent="0.3">
      <c r="A16" s="27" t="s">
        <v>58</v>
      </c>
      <c r="B16" s="3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16" s="3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16" s="33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16" s="34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16" s="39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17" spans="1:6" ht="18.75" customHeight="1" thickBot="1" x14ac:dyDescent="0.35">
      <c r="A17" s="28"/>
      <c r="B17" s="3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17" s="3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17" s="37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17" s="38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17" s="40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18" spans="1:6" ht="18.75" customHeight="1" x14ac:dyDescent="0.3">
      <c r="A18" s="29" t="s">
        <v>59</v>
      </c>
      <c r="B18" s="3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18" s="3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18" s="33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18" s="34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18" s="39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19" spans="1:6" ht="18.75" customHeight="1" thickBot="1" x14ac:dyDescent="0.35">
      <c r="A19" s="30"/>
      <c r="B19" s="3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19" s="3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19" s="37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19" s="38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19" s="40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20" spans="1:6" ht="18.75" customHeight="1" x14ac:dyDescent="0.3">
      <c r="A20" s="23" t="s">
        <v>60</v>
      </c>
      <c r="B20" s="3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20" s="3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20" s="33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20" s="34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20" s="39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21" spans="1:6" ht="18.75" customHeight="1" thickBot="1" x14ac:dyDescent="0.35">
      <c r="A21" s="24"/>
      <c r="B21" s="3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21" s="3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21" s="37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21" s="38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21" s="40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22" spans="1:6" ht="18.75" customHeight="1" x14ac:dyDescent="0.3">
      <c r="A22" s="25" t="s">
        <v>61</v>
      </c>
      <c r="B22" s="3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22" s="3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22" s="33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22" s="34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22" s="39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23" spans="1:6" ht="18.75" customHeight="1" thickBot="1" x14ac:dyDescent="0.35">
      <c r="A23" s="26"/>
      <c r="B23" s="3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23" s="3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23" s="37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23" s="38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23" s="40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24" spans="1:6" ht="18.75" customHeight="1" x14ac:dyDescent="0.3">
      <c r="A24" s="27" t="s">
        <v>62</v>
      </c>
      <c r="B24" s="3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24" s="3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24" s="33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24" s="34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24" s="39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25" spans="1:6" ht="18.75" customHeight="1" thickBot="1" x14ac:dyDescent="0.35">
      <c r="A25" s="28"/>
      <c r="B25" s="3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25" s="3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25" s="37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25" s="38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25" s="40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26" spans="1:6" ht="18.75" customHeight="1" x14ac:dyDescent="0.3">
      <c r="A26" s="29" t="s">
        <v>63</v>
      </c>
      <c r="B26" s="3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26" s="3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26" s="33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26" s="34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26" s="39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27" spans="1:6" ht="18.75" customHeight="1" thickBot="1" x14ac:dyDescent="0.35">
      <c r="A27" s="30"/>
      <c r="B27" s="3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27" s="3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27" s="37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27" s="38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27" s="40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28" spans="1:6" ht="18.75" customHeight="1" x14ac:dyDescent="0.3">
      <c r="A28" s="23" t="s">
        <v>64</v>
      </c>
      <c r="B28" s="3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28" s="3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28" s="33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28" s="34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28" s="39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29" spans="1:6" ht="18.75" customHeight="1" thickBot="1" x14ac:dyDescent="0.35">
      <c r="A29" s="24"/>
      <c r="B29" s="3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29" s="3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29" s="37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29" s="38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29" s="40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30" spans="1:6" ht="18.75" customHeight="1" x14ac:dyDescent="0.3">
      <c r="A30" s="25" t="s">
        <v>65</v>
      </c>
      <c r="B30" s="3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30" s="3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30" s="33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30" s="34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30" s="39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31" spans="1:6" ht="18.75" customHeight="1" thickBot="1" x14ac:dyDescent="0.35">
      <c r="A31" s="26"/>
      <c r="B31" s="3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31" s="3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31" s="37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31" s="38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31" s="40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32" spans="1:6" ht="18.75" customHeight="1" x14ac:dyDescent="0.3">
      <c r="A32" s="27" t="s">
        <v>66</v>
      </c>
      <c r="B32" s="3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32" s="3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32" s="33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32" s="34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32" s="39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33" spans="1:6" ht="18.75" customHeight="1" thickBot="1" x14ac:dyDescent="0.35">
      <c r="A33" s="28"/>
      <c r="B33" s="3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33" s="3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33" s="37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33" s="38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33" s="40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34" spans="1:6" ht="18.75" customHeight="1" x14ac:dyDescent="0.3">
      <c r="A34" s="29" t="s">
        <v>67</v>
      </c>
      <c r="B34" s="3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34" s="3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34" s="33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34" s="34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34" s="39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35" spans="1:6" ht="18.75" customHeight="1" thickBot="1" x14ac:dyDescent="0.35">
      <c r="A35" s="30"/>
      <c r="B35" s="3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35" s="3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35" s="37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35" s="38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35" s="40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36" spans="1:6" s="17" customFormat="1" ht="18.75" customHeight="1" x14ac:dyDescent="0.3">
      <c r="A36" s="23" t="s">
        <v>68</v>
      </c>
      <c r="B36" s="3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36" s="3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36" s="33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36" s="34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36" s="39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37" spans="1:6" s="17" customFormat="1" ht="18.75" customHeight="1" thickBot="1" x14ac:dyDescent="0.35">
      <c r="A37" s="24"/>
      <c r="B37" s="3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37" s="3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37" s="37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37" s="38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37" s="40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38" spans="1:6" ht="18.75" customHeight="1" x14ac:dyDescent="0.3">
      <c r="A38" s="25" t="s">
        <v>69</v>
      </c>
      <c r="B38" s="3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38" s="3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38" s="33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38" s="34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38" s="39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39" spans="1:6" ht="18.75" customHeight="1" thickBot="1" x14ac:dyDescent="0.35">
      <c r="A39" s="26"/>
      <c r="B39" s="3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39" s="3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39" s="37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39" s="38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39" s="40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40" spans="1:6" ht="18.75" customHeight="1" x14ac:dyDescent="0.3">
      <c r="A40" s="27" t="s">
        <v>70</v>
      </c>
      <c r="B40" s="3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40" s="3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40" s="33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40" s="34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40" s="39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41" spans="1:6" ht="18.75" customHeight="1" thickBot="1" x14ac:dyDescent="0.35">
      <c r="A41" s="28"/>
      <c r="B41" s="3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41" s="3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41" s="37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41" s="38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41" s="40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42" spans="1:6" ht="18.75" customHeight="1" x14ac:dyDescent="0.3">
      <c r="A42" s="29" t="s">
        <v>71</v>
      </c>
      <c r="B42" s="3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42" s="3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42" s="33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42" s="34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42" s="39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43" spans="1:6" ht="18.75" customHeight="1" thickBot="1" x14ac:dyDescent="0.35">
      <c r="A43" s="30"/>
      <c r="B43" s="3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43" s="3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43" s="37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43" s="38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43" s="40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44" spans="1:6" ht="18.75" customHeight="1" x14ac:dyDescent="0.3">
      <c r="A44" s="23" t="s">
        <v>72</v>
      </c>
      <c r="B44" s="3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44" s="3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44" s="33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44" s="34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44" s="39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45" spans="1:6" ht="18.75" customHeight="1" thickBot="1" x14ac:dyDescent="0.35">
      <c r="A45" s="24"/>
      <c r="B45" s="3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45" s="3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45" s="37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45" s="38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45" s="40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46" spans="1:6" ht="18.75" customHeight="1" x14ac:dyDescent="0.3">
      <c r="A46" s="25" t="s">
        <v>73</v>
      </c>
      <c r="B46" s="3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46" s="3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46" s="33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46" s="34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46" s="39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47" spans="1:6" ht="18.75" customHeight="1" thickBot="1" x14ac:dyDescent="0.35">
      <c r="A47" s="26"/>
      <c r="B47" s="3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47" s="3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47" s="37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47" s="38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47" s="40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48" spans="1:6" ht="18.75" customHeight="1" x14ac:dyDescent="0.3">
      <c r="A48" s="27" t="s">
        <v>74</v>
      </c>
      <c r="B48" s="3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48" s="3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48" s="33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48" s="34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48" s="39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49" spans="1:6" ht="18.75" customHeight="1" thickBot="1" x14ac:dyDescent="0.35">
      <c r="A49" s="28"/>
      <c r="B49" s="3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49" s="3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49" s="37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49" s="38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49" s="40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50" spans="1:6" ht="18.75" customHeight="1" x14ac:dyDescent="0.3">
      <c r="A50" s="29" t="s">
        <v>75</v>
      </c>
      <c r="B50" s="3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50" s="3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50" s="33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50" s="34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50" s="39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51" spans="1:6" ht="18.75" customHeight="1" thickBot="1" x14ac:dyDescent="0.35">
      <c r="A51" s="30"/>
      <c r="B51" s="3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51" s="3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51" s="37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51" s="38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51" s="40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52" spans="1:6" ht="18.75" customHeight="1" x14ac:dyDescent="0.3">
      <c r="A52" s="23" t="s">
        <v>76</v>
      </c>
      <c r="B52" s="3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52" s="3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52" s="33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52" s="34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52" s="39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53" spans="1:6" ht="18.75" customHeight="1" thickBot="1" x14ac:dyDescent="0.35">
      <c r="A53" s="24"/>
      <c r="B53" s="3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53" s="3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53" s="37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53" s="38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53" s="40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54" spans="1:6" ht="18.75" customHeight="1" x14ac:dyDescent="0.3">
      <c r="A54" s="25" t="s">
        <v>77</v>
      </c>
      <c r="B54" s="3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54" s="3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54" s="33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54" s="34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54" s="39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55" spans="1:6" ht="18.75" customHeight="1" thickBot="1" x14ac:dyDescent="0.35">
      <c r="A55" s="26"/>
      <c r="B55" s="3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55" s="3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55" s="37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55" s="38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55" s="40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56" spans="1:6" ht="18.75" customHeight="1" x14ac:dyDescent="0.3">
      <c r="A56" s="27" t="s">
        <v>78</v>
      </c>
      <c r="B56" s="3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56" s="3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56" s="33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56" s="34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56" s="39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57" spans="1:6" ht="18.75" customHeight="1" thickBot="1" x14ac:dyDescent="0.35">
      <c r="A57" s="28"/>
      <c r="B57" s="3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57" s="3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57" s="37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57" s="38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57" s="40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58" spans="1:6" ht="18.75" customHeight="1" x14ac:dyDescent="0.3">
      <c r="A58" s="29" t="s">
        <v>79</v>
      </c>
      <c r="B58" s="3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58" s="3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58" s="33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58" s="34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58" s="39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59" spans="1:6" ht="18.75" customHeight="1" thickBot="1" x14ac:dyDescent="0.35">
      <c r="A59" s="30"/>
      <c r="B59" s="3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59" s="3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59" s="37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59" s="38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59" s="40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60" spans="1:6" ht="18.75" customHeight="1" x14ac:dyDescent="0.3">
      <c r="A60" s="23" t="s">
        <v>80</v>
      </c>
      <c r="B60" s="3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60" s="3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60" s="33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60" s="34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60" s="39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61" spans="1:6" ht="18.75" customHeight="1" thickBot="1" x14ac:dyDescent="0.35">
      <c r="A61" s="24"/>
      <c r="B61" s="3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61" s="3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61" s="37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61" s="38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61" s="40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62" spans="1:6" ht="18.75" customHeight="1" x14ac:dyDescent="0.3">
      <c r="A62" s="25" t="s">
        <v>81</v>
      </c>
      <c r="B62" s="3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62" s="3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62" s="33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62" s="34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62" s="39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63" spans="1:6" ht="18.75" customHeight="1" thickBot="1" x14ac:dyDescent="0.35">
      <c r="A63" s="26"/>
      <c r="B63" s="3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63" s="3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63" s="37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63" s="38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63" s="40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64" spans="1:6" ht="18.75" customHeight="1" x14ac:dyDescent="0.3">
      <c r="A64" s="27" t="s">
        <v>82</v>
      </c>
      <c r="B64" s="3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64" s="3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64" s="33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64" s="34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64" s="39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65" spans="1:6" ht="18.75" customHeight="1" thickBot="1" x14ac:dyDescent="0.35">
      <c r="A65" s="28"/>
      <c r="B65" s="3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65" s="3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65" s="37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65" s="38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65" s="40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66" spans="1:6" ht="18.75" customHeight="1" x14ac:dyDescent="0.3">
      <c r="A66" s="29" t="s">
        <v>83</v>
      </c>
      <c r="B66" s="3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66" s="3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66" s="33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66" s="34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66" s="39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67" spans="1:6" ht="18.75" customHeight="1" thickBot="1" x14ac:dyDescent="0.35">
      <c r="A67" s="30"/>
      <c r="B67" s="3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67" s="3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67" s="37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67" s="38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67" s="40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68" spans="1:6" ht="18.75" customHeight="1" x14ac:dyDescent="0.3">
      <c r="A68" s="23" t="s">
        <v>84</v>
      </c>
      <c r="B68" s="3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68" s="3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68" s="33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68" s="34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68" s="39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69" spans="1:6" ht="18.75" customHeight="1" thickBot="1" x14ac:dyDescent="0.35">
      <c r="A69" s="24"/>
      <c r="B69" s="3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69" s="3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69" s="37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69" s="38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69" s="40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70" spans="1:6" ht="18.75" customHeight="1" x14ac:dyDescent="0.3">
      <c r="A70" s="25" t="s">
        <v>85</v>
      </c>
      <c r="B70" s="3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70" s="3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70" s="33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70" s="34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70" s="39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71" spans="1:6" ht="18.75" customHeight="1" thickBot="1" x14ac:dyDescent="0.35">
      <c r="A71" s="26"/>
      <c r="B71" s="3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71" s="3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71" s="37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71" s="38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71" s="40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72" spans="1:6" ht="18.75" customHeight="1" x14ac:dyDescent="0.3">
      <c r="A72" s="27" t="s">
        <v>86</v>
      </c>
      <c r="B72" s="3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72" s="3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72" s="33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72" s="34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72" s="39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73" spans="1:6" ht="18.75" customHeight="1" thickBot="1" x14ac:dyDescent="0.35">
      <c r="A73" s="28"/>
      <c r="B73" s="3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73" s="3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73" s="37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73" s="38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73" s="40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74" spans="1:6" ht="18.75" customHeight="1" x14ac:dyDescent="0.3">
      <c r="A74" s="29" t="s">
        <v>87</v>
      </c>
      <c r="B74" s="3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74" s="3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74" s="33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74" s="34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74" s="39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75" spans="1:6" ht="18.75" customHeight="1" thickBot="1" x14ac:dyDescent="0.35">
      <c r="A75" s="30"/>
      <c r="B75" s="3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75" s="3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75" s="37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75" s="38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75" s="40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76" spans="1:6" ht="18.75" customHeight="1" x14ac:dyDescent="0.3">
      <c r="A76" s="23" t="s">
        <v>88</v>
      </c>
      <c r="B76" s="3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76" s="3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76" s="33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76" s="34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76" s="39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77" spans="1:6" ht="18.75" customHeight="1" thickBot="1" x14ac:dyDescent="0.35">
      <c r="A77" s="24"/>
      <c r="B77" s="3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77" s="3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77" s="37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77" s="38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77" s="40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78" spans="1:6" ht="18.75" customHeight="1" x14ac:dyDescent="0.3">
      <c r="A78" s="25" t="s">
        <v>89</v>
      </c>
      <c r="B78" s="3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78" s="3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78" s="33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78" s="34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78" s="39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79" spans="1:6" ht="18.75" customHeight="1" thickBot="1" x14ac:dyDescent="0.35">
      <c r="A79" s="26"/>
      <c r="B79" s="3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79" s="3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79" s="37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79" s="38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79" s="40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80" spans="1:6" ht="18.75" customHeight="1" x14ac:dyDescent="0.3">
      <c r="A80" s="27" t="s">
        <v>90</v>
      </c>
      <c r="B80" s="3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80" s="3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80" s="33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80" s="34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80" s="39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81" spans="1:6" ht="18.75" customHeight="1" thickBot="1" x14ac:dyDescent="0.35">
      <c r="A81" s="28"/>
      <c r="B81" s="3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81" s="3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81" s="37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81" s="38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81" s="40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82" spans="1:6" ht="18.75" customHeight="1" x14ac:dyDescent="0.3">
      <c r="A82" s="29" t="s">
        <v>91</v>
      </c>
      <c r="B82" s="3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82" s="3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82" s="33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82" s="34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82" s="39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83" spans="1:6" ht="18.75" customHeight="1" thickBot="1" x14ac:dyDescent="0.35">
      <c r="A83" s="30"/>
      <c r="B83" s="3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83" s="3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83" s="37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83" s="38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83" s="40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84" spans="1:6" ht="18.75" customHeight="1" x14ac:dyDescent="0.3">
      <c r="A84" s="23" t="s">
        <v>92</v>
      </c>
      <c r="B84" s="3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84" s="3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84" s="33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84" s="34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84" s="39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85" spans="1:6" ht="18.75" customHeight="1" thickBot="1" x14ac:dyDescent="0.35">
      <c r="A85" s="24"/>
      <c r="B85" s="3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85" s="3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85" s="37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85" s="38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85" s="40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86" spans="1:6" ht="18.75" customHeight="1" x14ac:dyDescent="0.3">
      <c r="A86" s="25" t="s">
        <v>93</v>
      </c>
      <c r="B86" s="3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86" s="3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86" s="33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86" s="34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86" s="39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87" spans="1:6" ht="18.75" customHeight="1" thickBot="1" x14ac:dyDescent="0.35">
      <c r="A87" s="26"/>
      <c r="B87" s="3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87" s="3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87" s="37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87" s="38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87" s="40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88" spans="1:6" ht="18.75" customHeight="1" x14ac:dyDescent="0.3">
      <c r="A88" s="27" t="s">
        <v>94</v>
      </c>
      <c r="B88" s="3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88" s="3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88" s="33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88" s="34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88" s="39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89" spans="1:6" ht="18.75" customHeight="1" thickBot="1" x14ac:dyDescent="0.35">
      <c r="A89" s="28"/>
      <c r="B89" s="3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89" s="3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89" s="37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89" s="38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89" s="40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90" spans="1:6" ht="18.75" customHeight="1" x14ac:dyDescent="0.3">
      <c r="A90" s="29" t="s">
        <v>95</v>
      </c>
      <c r="B90" s="3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90" s="3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90" s="33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90" s="34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90" s="39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91" spans="1:6" ht="18.75" customHeight="1" thickBot="1" x14ac:dyDescent="0.35">
      <c r="A91" s="30"/>
      <c r="B91" s="3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91" s="3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91" s="37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91" s="38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91" s="40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92" spans="1:6" ht="18.75" customHeight="1" x14ac:dyDescent="0.3">
      <c r="A92" s="23" t="s">
        <v>96</v>
      </c>
      <c r="B92" s="3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92" s="3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92" s="33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92" s="34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92" s="39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93" spans="1:6" ht="18.75" customHeight="1" thickBot="1" x14ac:dyDescent="0.35">
      <c r="A93" s="24"/>
      <c r="B93" s="3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93" s="3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93" s="37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93" s="38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93" s="40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94" spans="1:6" ht="18.75" customHeight="1" x14ac:dyDescent="0.3">
      <c r="A94" s="25" t="s">
        <v>97</v>
      </c>
      <c r="B94" s="3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94" s="3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94" s="33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94" s="34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94" s="39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95" spans="1:6" ht="18.75" customHeight="1" thickBot="1" x14ac:dyDescent="0.35">
      <c r="A95" s="26"/>
      <c r="B95" s="3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95" s="3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95" s="37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95" s="38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95" s="40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96" spans="1:6" ht="18.75" customHeight="1" x14ac:dyDescent="0.3">
      <c r="A96" s="27" t="s">
        <v>98</v>
      </c>
      <c r="B96" s="3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96" s="3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96" s="33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96" s="34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96" s="39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97" spans="1:6" ht="18.75" customHeight="1" thickBot="1" x14ac:dyDescent="0.35">
      <c r="A97" s="28"/>
      <c r="B97" s="3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97" s="3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97" s="37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97" s="38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97" s="40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98" spans="1:6" ht="18.75" customHeight="1" x14ac:dyDescent="0.3">
      <c r="A98" s="29" t="s">
        <v>99</v>
      </c>
      <c r="B98" s="3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98" s="3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98" s="33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98" s="34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98" s="39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99" spans="1:6" ht="18.75" customHeight="1" thickBot="1" x14ac:dyDescent="0.35">
      <c r="A99" s="30"/>
      <c r="B99" s="3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99" s="3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99" s="37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99" s="38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99" s="40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100" spans="1:6" ht="18.75" customHeight="1" x14ac:dyDescent="0.3">
      <c r="A100" s="23" t="s">
        <v>100</v>
      </c>
      <c r="B100" s="3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100" s="3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100" s="33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100" s="34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100" s="39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101" spans="1:6" ht="18.75" customHeight="1" thickBot="1" x14ac:dyDescent="0.35">
      <c r="A101" s="24"/>
      <c r="B101" s="3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101" s="3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101" s="37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101" s="38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101" s="40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102" spans="1:6" ht="18.75" customHeight="1" x14ac:dyDescent="0.3">
      <c r="A102" s="25" t="s">
        <v>101</v>
      </c>
      <c r="B102" s="3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102" s="3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102" s="33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102" s="34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102" s="39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103" spans="1:6" ht="18.75" customHeight="1" thickBot="1" x14ac:dyDescent="0.35">
      <c r="A103" s="26"/>
      <c r="B103" s="3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103" s="3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103" s="37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103" s="38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103" s="40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104" spans="1:6" ht="18.75" customHeight="1" x14ac:dyDescent="0.3">
      <c r="A104" s="27" t="s">
        <v>102</v>
      </c>
      <c r="B104" s="3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104" s="3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104" s="33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104" s="34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104" s="39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105" spans="1:6" ht="18.75" customHeight="1" thickBot="1" x14ac:dyDescent="0.35">
      <c r="A105" s="28"/>
      <c r="B105" s="3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105" s="3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105" s="37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105" s="38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105" s="40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106" spans="1:6" ht="18.75" customHeight="1" x14ac:dyDescent="0.3">
      <c r="A106" s="29" t="s">
        <v>103</v>
      </c>
      <c r="B106" s="3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106" s="3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106" s="33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106" s="34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106" s="39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107" spans="1:6" ht="18.75" customHeight="1" thickBot="1" x14ac:dyDescent="0.35">
      <c r="A107" s="30"/>
      <c r="B107" s="3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107" s="3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107" s="37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107" s="38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107" s="40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</sheetData>
  <mergeCells count="52">
    <mergeCell ref="A100:A101"/>
    <mergeCell ref="A102:A103"/>
    <mergeCell ref="A104:A105"/>
    <mergeCell ref="A106:A107"/>
    <mergeCell ref="A90:A91"/>
    <mergeCell ref="A92:A93"/>
    <mergeCell ref="A94:A95"/>
    <mergeCell ref="A96:A97"/>
    <mergeCell ref="A98:A99"/>
    <mergeCell ref="A80:A81"/>
    <mergeCell ref="A82:A83"/>
    <mergeCell ref="A84:A85"/>
    <mergeCell ref="A86:A87"/>
    <mergeCell ref="A88:A89"/>
    <mergeCell ref="A70:A71"/>
    <mergeCell ref="A72:A73"/>
    <mergeCell ref="A74:A75"/>
    <mergeCell ref="A76:A77"/>
    <mergeCell ref="A78:A79"/>
    <mergeCell ref="A60:A61"/>
    <mergeCell ref="A62:A63"/>
    <mergeCell ref="A64:A65"/>
    <mergeCell ref="A66:A67"/>
    <mergeCell ref="A68:A69"/>
    <mergeCell ref="A50:A51"/>
    <mergeCell ref="A52:A53"/>
    <mergeCell ref="A54:A55"/>
    <mergeCell ref="A56:A57"/>
    <mergeCell ref="A58:A59"/>
    <mergeCell ref="A40:A41"/>
    <mergeCell ref="A42:A43"/>
    <mergeCell ref="A44:A45"/>
    <mergeCell ref="A46:A47"/>
    <mergeCell ref="A48:A49"/>
    <mergeCell ref="A34:A35"/>
    <mergeCell ref="A36:A37"/>
    <mergeCell ref="A38:A39"/>
    <mergeCell ref="A4:A5"/>
    <mergeCell ref="A6:A7"/>
    <mergeCell ref="A8:A9"/>
    <mergeCell ref="A10:A11"/>
    <mergeCell ref="A12:A13"/>
    <mergeCell ref="A14:A15"/>
    <mergeCell ref="A16:A17"/>
    <mergeCell ref="A18:A19"/>
    <mergeCell ref="A20:A21"/>
    <mergeCell ref="A22:A23"/>
    <mergeCell ref="A24:A25"/>
    <mergeCell ref="A26:A27"/>
    <mergeCell ref="A28:A29"/>
    <mergeCell ref="A30:A31"/>
    <mergeCell ref="A32:A33"/>
  </mergeCells>
  <phoneticPr fontId="1" type="noConversion"/>
  <conditionalFormatting sqref="B4:F107">
    <cfRule type="containsBlanks" dxfId="0" priority="2">
      <formula>LEN(TRIM(B4))=0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boBox1">
          <controlPr defaultSize="0" autoLine="0" linkedCell="C2" listFillRange="buscador" r:id="rId5">
            <anchor moveWithCells="1">
              <from>
                <xdr:col>2</xdr:col>
                <xdr:colOff>19050</xdr:colOff>
                <xdr:row>0</xdr:row>
                <xdr:rowOff>171450</xdr:rowOff>
              </from>
              <to>
                <xdr:col>4</xdr:col>
                <xdr:colOff>333375</xdr:colOff>
                <xdr:row>2</xdr:row>
                <xdr:rowOff>38100</xdr:rowOff>
              </to>
            </anchor>
          </controlPr>
        </control>
      </mc:Choice>
      <mc:Fallback>
        <control shapeId="1025" r:id="rId4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F122D-45F1-455F-B756-A67F0326E2CE}">
  <dimension ref="B4:D4"/>
  <sheetViews>
    <sheetView tabSelected="1" workbookViewId="0">
      <selection activeCell="D4" sqref="D4"/>
    </sheetView>
  </sheetViews>
  <sheetFormatPr baseColWidth="10" defaultRowHeight="15" x14ac:dyDescent="0.25"/>
  <cols>
    <col min="2" max="5" width="27.85546875" customWidth="1"/>
  </cols>
  <sheetData>
    <row r="4" spans="2:4" x14ac:dyDescent="0.25">
      <c r="B4" t="str">
        <f>IF(Index!C4="","TERMINO","CONTINUA")</f>
        <v>TERMINO</v>
      </c>
      <c r="C4" t="str">
        <f>IF(Index!D4="","TERMINO","CONTINUA")</f>
        <v>TERMINO</v>
      </c>
      <c r="D4" t="str">
        <f>IF(Index!E4="","TERMINO","CONTINUA")</f>
        <v>TERMINO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90C0F-4D04-4C01-A157-4DDB9E8A8075}">
  <sheetPr codeName="Hoja2"/>
  <dimension ref="A1:K73"/>
  <sheetViews>
    <sheetView workbookViewId="0">
      <selection activeCell="D10" sqref="D10"/>
    </sheetView>
  </sheetViews>
  <sheetFormatPr baseColWidth="10" defaultRowHeight="15" x14ac:dyDescent="0.25"/>
  <cols>
    <col min="2" max="2" width="25.140625" customWidth="1"/>
    <col min="4" max="4" width="43.85546875" customWidth="1"/>
    <col min="11" max="11" width="14.7109375" customWidth="1"/>
  </cols>
  <sheetData>
    <row r="1" spans="1:11" ht="45" x14ac:dyDescent="0.25">
      <c r="A1" s="16" t="s">
        <v>48</v>
      </c>
      <c r="B1" s="11" t="s">
        <v>26</v>
      </c>
      <c r="C1" s="11" t="s">
        <v>27</v>
      </c>
      <c r="D1" s="11" t="s">
        <v>0</v>
      </c>
      <c r="E1" s="11" t="s">
        <v>1</v>
      </c>
      <c r="F1" s="11" t="s">
        <v>11</v>
      </c>
      <c r="G1" s="11" t="s">
        <v>3</v>
      </c>
      <c r="H1" s="16" t="s">
        <v>49</v>
      </c>
      <c r="K1" s="9" t="s">
        <v>47</v>
      </c>
    </row>
    <row r="2" spans="1:11" x14ac:dyDescent="0.25">
      <c r="A2" s="12" t="str">
        <f>$F2&amp;$G2</f>
        <v>00</v>
      </c>
      <c r="B2" s="12">
        <f>INDEX(CANCIONES!C$5:C$100,SMALL('OPERACIONES DE FORMULAS'!$D$5:$D$35,ROW()-1)-4)</f>
        <v>0</v>
      </c>
      <c r="C2" s="12">
        <f>INDEX(CANCIONES!D$5:D$100,SMALL('OPERACIONES DE FORMULAS'!$D$5:$D$35,ROW()-1)-4)</f>
        <v>0</v>
      </c>
      <c r="D2" s="12">
        <f>INDEX(CANCIONES!E$5:E$100,SMALL('OPERACIONES DE FORMULAS'!$D$5:$D$35,ROW()-1)-4)</f>
        <v>0</v>
      </c>
      <c r="E2" s="12">
        <f>INDEX(CANCIONES!F$5:F$100,SMALL('OPERACIONES DE FORMULAS'!$D$5:$D$35,ROW()-1)-4)</f>
        <v>0</v>
      </c>
      <c r="F2" s="12">
        <f>INDEX(CANCIONES!G$5:G$100,SMALL('OPERACIONES DE FORMULAS'!$D$5:$D$35,ROW()-1)-4)</f>
        <v>0</v>
      </c>
      <c r="G2" s="12">
        <f>INDEX(CANCIONES!H$5:H$100,SMALL('OPERACIONES DE FORMULAS'!$D$5:$D$35,ROW()-1)-4)</f>
        <v>0</v>
      </c>
      <c r="H2" s="12">
        <f>ROW()-1</f>
        <v>1</v>
      </c>
      <c r="K2" s="7">
        <f>SMALL('OPERACIONES DE FORMULAS'!$D$5:$D$35,ROW()-1)</f>
        <v>14</v>
      </c>
    </row>
    <row r="3" spans="1:11" x14ac:dyDescent="0.25">
      <c r="A3" s="12" t="str">
        <f t="shared" ref="A3:A15" si="0">$F3&amp;$G3</f>
        <v>00</v>
      </c>
      <c r="B3" s="12">
        <f>INDEX(CANCIONES!C$5:C$100,SMALL('OPERACIONES DE FORMULAS'!$D$5:$D$35,ROW()-1)-4)</f>
        <v>0</v>
      </c>
      <c r="C3" s="12">
        <f>INDEX(CANCIONES!D$5:D$100,SMALL('OPERACIONES DE FORMULAS'!$D$5:$D$35,ROW()-1)-4)</f>
        <v>0</v>
      </c>
      <c r="D3" s="12">
        <f>INDEX(CANCIONES!E$5:E$100,SMALL('OPERACIONES DE FORMULAS'!$D$5:$D$35,ROW()-1)-4)</f>
        <v>0</v>
      </c>
      <c r="E3" s="12">
        <f>INDEX(CANCIONES!F$5:F$100,SMALL('OPERACIONES DE FORMULAS'!$D$5:$D$35,ROW()-1)-4)</f>
        <v>0</v>
      </c>
      <c r="F3" s="12">
        <f>INDEX(CANCIONES!G$5:G$100,SMALL('OPERACIONES DE FORMULAS'!$D$5:$D$35,ROW()-1)-4)</f>
        <v>0</v>
      </c>
      <c r="G3" s="12">
        <f>INDEX(CANCIONES!H$5:H$100,SMALL('OPERACIONES DE FORMULAS'!$D$5:$D$35,ROW()-1)-4)</f>
        <v>0</v>
      </c>
      <c r="H3" s="12">
        <f t="shared" ref="H3:H9" si="1">ROW()-1</f>
        <v>2</v>
      </c>
      <c r="K3" s="7">
        <f>SMALL('OPERACIONES DE FORMULAS'!$D$5:$D$35,ROW()-1)</f>
        <v>15</v>
      </c>
    </row>
    <row r="4" spans="1:11" x14ac:dyDescent="0.25">
      <c r="A4" s="12" t="str">
        <f t="shared" si="0"/>
        <v>00</v>
      </c>
      <c r="B4" s="12">
        <f>INDEX(CANCIONES!C$5:C$100,SMALL('OPERACIONES DE FORMULAS'!$D$5:$D$35,ROW()-1)-4)</f>
        <v>0</v>
      </c>
      <c r="C4" s="12">
        <f>INDEX(CANCIONES!D$5:D$100,SMALL('OPERACIONES DE FORMULAS'!$D$5:$D$35,ROW()-1)-4)</f>
        <v>0</v>
      </c>
      <c r="D4" s="12">
        <f>INDEX(CANCIONES!E$5:E$100,SMALL('OPERACIONES DE FORMULAS'!$D$5:$D$35,ROW()-1)-4)</f>
        <v>0</v>
      </c>
      <c r="E4" s="12">
        <f>INDEX(CANCIONES!F$5:F$100,SMALL('OPERACIONES DE FORMULAS'!$D$5:$D$35,ROW()-1)-4)</f>
        <v>0</v>
      </c>
      <c r="F4" s="12">
        <f>INDEX(CANCIONES!G$5:G$100,SMALL('OPERACIONES DE FORMULAS'!$D$5:$D$35,ROW()-1)-4)</f>
        <v>0</v>
      </c>
      <c r="G4" s="12">
        <f>INDEX(CANCIONES!H$5:H$100,SMALL('OPERACIONES DE FORMULAS'!$D$5:$D$35,ROW()-1)-4)</f>
        <v>0</v>
      </c>
      <c r="H4" s="12">
        <f t="shared" si="1"/>
        <v>3</v>
      </c>
      <c r="K4" s="7">
        <f>SMALL('OPERACIONES DE FORMULAS'!$D$5:$D$35,ROW()-1)</f>
        <v>16</v>
      </c>
    </row>
    <row r="5" spans="1:11" x14ac:dyDescent="0.25">
      <c r="A5" s="12" t="str">
        <f t="shared" si="0"/>
        <v>00</v>
      </c>
      <c r="B5" s="12">
        <f>INDEX(CANCIONES!C$5:C$100,SMALL('OPERACIONES DE FORMULAS'!$D$5:$D$35,ROW()-1)-4)</f>
        <v>0</v>
      </c>
      <c r="C5" s="12">
        <f>INDEX(CANCIONES!D$5:D$100,SMALL('OPERACIONES DE FORMULAS'!$D$5:$D$35,ROW()-1)-4)</f>
        <v>0</v>
      </c>
      <c r="D5" s="12">
        <f>INDEX(CANCIONES!E$5:E$100,SMALL('OPERACIONES DE FORMULAS'!$D$5:$D$35,ROW()-1)-4)</f>
        <v>0</v>
      </c>
      <c r="E5" s="12">
        <f>INDEX(CANCIONES!F$5:F$100,SMALL('OPERACIONES DE FORMULAS'!$D$5:$D$35,ROW()-1)-4)</f>
        <v>0</v>
      </c>
      <c r="F5" s="12">
        <f>INDEX(CANCIONES!G$5:G$100,SMALL('OPERACIONES DE FORMULAS'!$D$5:$D$35,ROW()-1)-4)</f>
        <v>0</v>
      </c>
      <c r="G5" s="12">
        <f>INDEX(CANCIONES!H$5:H$100,SMALL('OPERACIONES DE FORMULAS'!$D$5:$D$35,ROW()-1)-4)</f>
        <v>0</v>
      </c>
      <c r="H5" s="12">
        <f t="shared" si="1"/>
        <v>4</v>
      </c>
      <c r="K5" s="7">
        <f>SMALL('OPERACIONES DE FORMULAS'!$D$5:$D$35,ROW()-1)</f>
        <v>17</v>
      </c>
    </row>
    <row r="6" spans="1:11" x14ac:dyDescent="0.25">
      <c r="A6" s="12" t="str">
        <f t="shared" si="0"/>
        <v>00</v>
      </c>
      <c r="B6" s="12">
        <f>INDEX(CANCIONES!C$5:C$100,SMALL('OPERACIONES DE FORMULAS'!$D$5:$D$35,ROW()-1)-4)</f>
        <v>0</v>
      </c>
      <c r="C6" s="12">
        <f>INDEX(CANCIONES!D$5:D$100,SMALL('OPERACIONES DE FORMULAS'!$D$5:$D$35,ROW()-1)-4)</f>
        <v>0</v>
      </c>
      <c r="D6" s="12">
        <f>INDEX(CANCIONES!E$5:E$100,SMALL('OPERACIONES DE FORMULAS'!$D$5:$D$35,ROW()-1)-4)</f>
        <v>0</v>
      </c>
      <c r="E6" s="12">
        <f>INDEX(CANCIONES!F$5:F$100,SMALL('OPERACIONES DE FORMULAS'!$D$5:$D$35,ROW()-1)-4)</f>
        <v>0</v>
      </c>
      <c r="F6" s="12">
        <f>INDEX(CANCIONES!G$5:G$100,SMALL('OPERACIONES DE FORMULAS'!$D$5:$D$35,ROW()-1)-4)</f>
        <v>0</v>
      </c>
      <c r="G6" s="12">
        <f>INDEX(CANCIONES!H$5:H$100,SMALL('OPERACIONES DE FORMULAS'!$D$5:$D$35,ROW()-1)-4)</f>
        <v>0</v>
      </c>
      <c r="H6" s="12">
        <f t="shared" si="1"/>
        <v>5</v>
      </c>
      <c r="K6" s="7">
        <f>SMALL('OPERACIONES DE FORMULAS'!$D$5:$D$35,ROW()-1)</f>
        <v>18</v>
      </c>
    </row>
    <row r="7" spans="1:11" x14ac:dyDescent="0.25">
      <c r="A7" s="12" t="str">
        <f t="shared" si="0"/>
        <v>00</v>
      </c>
      <c r="B7" s="12">
        <f>INDEX(CANCIONES!C$5:C$100,SMALL('OPERACIONES DE FORMULAS'!$D$5:$D$35,ROW()-1)-4)</f>
        <v>0</v>
      </c>
      <c r="C7" s="12">
        <f>INDEX(CANCIONES!D$5:D$100,SMALL('OPERACIONES DE FORMULAS'!$D$5:$D$35,ROW()-1)-4)</f>
        <v>0</v>
      </c>
      <c r="D7" s="12">
        <f>INDEX(CANCIONES!E$5:E$100,SMALL('OPERACIONES DE FORMULAS'!$D$5:$D$35,ROW()-1)-4)</f>
        <v>0</v>
      </c>
      <c r="E7" s="12">
        <f>INDEX(CANCIONES!F$5:F$100,SMALL('OPERACIONES DE FORMULAS'!$D$5:$D$35,ROW()-1)-4)</f>
        <v>0</v>
      </c>
      <c r="F7" s="12">
        <f>INDEX(CANCIONES!G$5:G$100,SMALL('OPERACIONES DE FORMULAS'!$D$5:$D$35,ROW()-1)-4)</f>
        <v>0</v>
      </c>
      <c r="G7" s="12">
        <f>INDEX(CANCIONES!H$5:H$100,SMALL('OPERACIONES DE FORMULAS'!$D$5:$D$35,ROW()-1)-4)</f>
        <v>0</v>
      </c>
      <c r="H7" s="12">
        <f t="shared" si="1"/>
        <v>6</v>
      </c>
      <c r="K7" s="7">
        <f>SMALL('OPERACIONES DE FORMULAS'!$D$5:$D$35,ROW()-1)</f>
        <v>19</v>
      </c>
    </row>
    <row r="8" spans="1:11" x14ac:dyDescent="0.25">
      <c r="A8" s="12" t="str">
        <f t="shared" si="0"/>
        <v>00</v>
      </c>
      <c r="B8" s="12">
        <f>INDEX(CANCIONES!C$5:C$100,SMALL('OPERACIONES DE FORMULAS'!$D$5:$D$35,ROW()-1)-4)</f>
        <v>0</v>
      </c>
      <c r="C8" s="12">
        <f>INDEX(CANCIONES!D$5:D$100,SMALL('OPERACIONES DE FORMULAS'!$D$5:$D$35,ROW()-1)-4)</f>
        <v>0</v>
      </c>
      <c r="D8" s="12">
        <f>INDEX(CANCIONES!E$5:E$100,SMALL('OPERACIONES DE FORMULAS'!$D$5:$D$35,ROW()-1)-4)</f>
        <v>0</v>
      </c>
      <c r="E8" s="12">
        <f>INDEX(CANCIONES!F$5:F$100,SMALL('OPERACIONES DE FORMULAS'!$D$5:$D$35,ROW()-1)-4)</f>
        <v>0</v>
      </c>
      <c r="F8" s="12">
        <f>INDEX(CANCIONES!G$5:G$100,SMALL('OPERACIONES DE FORMULAS'!$D$5:$D$35,ROW()-1)-4)</f>
        <v>0</v>
      </c>
      <c r="G8" s="12">
        <f>INDEX(CANCIONES!H$5:H$100,SMALL('OPERACIONES DE FORMULAS'!$D$5:$D$35,ROW()-1)-4)</f>
        <v>0</v>
      </c>
      <c r="H8" s="12">
        <f t="shared" si="1"/>
        <v>7</v>
      </c>
      <c r="K8" s="7">
        <f>SMALL('OPERACIONES DE FORMULAS'!$D$5:$D$35,ROW()-1)</f>
        <v>20</v>
      </c>
    </row>
    <row r="9" spans="1:11" x14ac:dyDescent="0.25">
      <c r="A9" s="12" t="str">
        <f t="shared" si="0"/>
        <v>00</v>
      </c>
      <c r="B9" s="12">
        <f>INDEX(CANCIONES!C$5:C$100,SMALL('OPERACIONES DE FORMULAS'!$D$5:$D$35,ROW()-1)-4)</f>
        <v>0</v>
      </c>
      <c r="C9" s="12">
        <f>INDEX(CANCIONES!D$5:D$100,SMALL('OPERACIONES DE FORMULAS'!$D$5:$D$35,ROW()-1)-4)</f>
        <v>0</v>
      </c>
      <c r="D9" s="12">
        <f>INDEX(CANCIONES!E$5:E$100,SMALL('OPERACIONES DE FORMULAS'!$D$5:$D$35,ROW()-1)-4)</f>
        <v>0</v>
      </c>
      <c r="E9" s="12">
        <f>INDEX(CANCIONES!F$5:F$100,SMALL('OPERACIONES DE FORMULAS'!$D$5:$D$35,ROW()-1)-4)</f>
        <v>0</v>
      </c>
      <c r="F9" s="12">
        <f>INDEX(CANCIONES!G$5:G$100,SMALL('OPERACIONES DE FORMULAS'!$D$5:$D$35,ROW()-1)-4)</f>
        <v>0</v>
      </c>
      <c r="G9" s="12">
        <f>INDEX(CANCIONES!H$5:H$100,SMALL('OPERACIONES DE FORMULAS'!$D$5:$D$35,ROW()-1)-4)</f>
        <v>0</v>
      </c>
      <c r="H9" s="12">
        <f t="shared" si="1"/>
        <v>8</v>
      </c>
      <c r="K9" s="7">
        <f>SMALL('OPERACIONES DE FORMULAS'!$D$5:$D$35,ROW()-1)</f>
        <v>21</v>
      </c>
    </row>
    <row r="10" spans="1:11" x14ac:dyDescent="0.25">
      <c r="A10" t="str">
        <f t="shared" si="0"/>
        <v>00</v>
      </c>
      <c r="B10">
        <f>INDEX(CANCIONES!C$5:C$100,SMALL('OPERACIONES DE FORMULAS'!$D$5:$D$35,ROW()-1)-4)</f>
        <v>0</v>
      </c>
      <c r="C10">
        <f>INDEX(CANCIONES!D$5:D$100,SMALL('OPERACIONES DE FORMULAS'!$D$5:$D$35,ROW()-1)-4)</f>
        <v>0</v>
      </c>
      <c r="D10">
        <f>INDEX(CANCIONES!E$5:E$100,SMALL('OPERACIONES DE FORMULAS'!$D$5:$D$35,ROW()-1)-4)</f>
        <v>0</v>
      </c>
      <c r="E10">
        <f>INDEX(CANCIONES!F$5:F$100,SMALL('OPERACIONES DE FORMULAS'!$D$5:$D$35,ROW()-1)-4)</f>
        <v>0</v>
      </c>
      <c r="F10">
        <f>INDEX(CANCIONES!G$5:G$100,SMALL('OPERACIONES DE FORMULAS'!$D$5:$D$35,ROW()-1)-4)</f>
        <v>0</v>
      </c>
      <c r="G10">
        <f>INDEX(CANCIONES!H$5:H$100,SMALL('OPERACIONES DE FORMULAS'!$D$5:$D$35,ROW()-1)-4)</f>
        <v>0</v>
      </c>
      <c r="K10" s="7">
        <f>SMALL('OPERACIONES DE FORMULAS'!$D$5:$D$35,ROW()-1)</f>
        <v>22</v>
      </c>
    </row>
    <row r="11" spans="1:11" x14ac:dyDescent="0.25">
      <c r="A11" t="str">
        <f t="shared" si="0"/>
        <v>00</v>
      </c>
      <c r="B11">
        <f>INDEX(CANCIONES!C$5:C$100,SMALL('OPERACIONES DE FORMULAS'!$D$5:$D$35,ROW()-1)-4)</f>
        <v>0</v>
      </c>
      <c r="C11">
        <f>INDEX(CANCIONES!D$5:D$100,SMALL('OPERACIONES DE FORMULAS'!$D$5:$D$35,ROW()-1)-4)</f>
        <v>0</v>
      </c>
      <c r="D11">
        <f>INDEX(CANCIONES!E$5:E$100,SMALL('OPERACIONES DE FORMULAS'!$D$5:$D$35,ROW()-1)-4)</f>
        <v>0</v>
      </c>
      <c r="E11">
        <f>INDEX(CANCIONES!F$5:F$100,SMALL('OPERACIONES DE FORMULAS'!$D$5:$D$35,ROW()-1)-4)</f>
        <v>0</v>
      </c>
      <c r="F11">
        <f>INDEX(CANCIONES!G$5:G$100,SMALL('OPERACIONES DE FORMULAS'!$D$5:$D$35,ROW()-1)-4)</f>
        <v>0</v>
      </c>
      <c r="G11">
        <f>INDEX(CANCIONES!H$5:H$100,SMALL('OPERACIONES DE FORMULAS'!$D$5:$D$35,ROW()-1)-4)</f>
        <v>0</v>
      </c>
      <c r="K11" s="7">
        <f>SMALL('OPERACIONES DE FORMULAS'!$D$5:$D$35,ROW()-1)</f>
        <v>23</v>
      </c>
    </row>
    <row r="12" spans="1:11" x14ac:dyDescent="0.25">
      <c r="A12" t="str">
        <f t="shared" si="0"/>
        <v>00</v>
      </c>
      <c r="B12">
        <f>INDEX(CANCIONES!C$5:C$100,SMALL('OPERACIONES DE FORMULAS'!$D$5:$D$35,ROW()-1)-4)</f>
        <v>0</v>
      </c>
      <c r="C12">
        <f>INDEX(CANCIONES!D$5:D$100,SMALL('OPERACIONES DE FORMULAS'!$D$5:$D$35,ROW()-1)-4)</f>
        <v>0</v>
      </c>
      <c r="D12">
        <f>INDEX(CANCIONES!E$5:E$100,SMALL('OPERACIONES DE FORMULAS'!$D$5:$D$35,ROW()-1)-4)</f>
        <v>0</v>
      </c>
      <c r="E12">
        <f>INDEX(CANCIONES!F$5:F$100,SMALL('OPERACIONES DE FORMULAS'!$D$5:$D$35,ROW()-1)-4)</f>
        <v>0</v>
      </c>
      <c r="F12">
        <f>INDEX(CANCIONES!G$5:G$100,SMALL('OPERACIONES DE FORMULAS'!$D$5:$D$35,ROW()-1)-4)</f>
        <v>0</v>
      </c>
      <c r="G12">
        <f>INDEX(CANCIONES!H$5:H$100,SMALL('OPERACIONES DE FORMULAS'!$D$5:$D$35,ROW()-1)-4)</f>
        <v>0</v>
      </c>
      <c r="K12" s="7">
        <f>SMALL('OPERACIONES DE FORMULAS'!$D$5:$D$35,ROW()-1)</f>
        <v>24</v>
      </c>
    </row>
    <row r="13" spans="1:11" x14ac:dyDescent="0.25">
      <c r="A13" t="str">
        <f t="shared" si="0"/>
        <v>00</v>
      </c>
      <c r="B13">
        <f>INDEX(CANCIONES!C$5:C$100,SMALL('OPERACIONES DE FORMULAS'!$D$5:$D$35,ROW()-1)-4)</f>
        <v>0</v>
      </c>
      <c r="C13">
        <f>INDEX(CANCIONES!D$5:D$100,SMALL('OPERACIONES DE FORMULAS'!$D$5:$D$35,ROW()-1)-4)</f>
        <v>0</v>
      </c>
      <c r="D13">
        <f>INDEX(CANCIONES!E$5:E$100,SMALL('OPERACIONES DE FORMULAS'!$D$5:$D$35,ROW()-1)-4)</f>
        <v>0</v>
      </c>
      <c r="E13">
        <f>INDEX(CANCIONES!F$5:F$100,SMALL('OPERACIONES DE FORMULAS'!$D$5:$D$35,ROW()-1)-4)</f>
        <v>0</v>
      </c>
      <c r="F13">
        <f>INDEX(CANCIONES!G$5:G$100,SMALL('OPERACIONES DE FORMULAS'!$D$5:$D$35,ROW()-1)-4)</f>
        <v>0</v>
      </c>
      <c r="G13">
        <f>INDEX(CANCIONES!H$5:H$100,SMALL('OPERACIONES DE FORMULAS'!$D$5:$D$35,ROW()-1)-4)</f>
        <v>0</v>
      </c>
      <c r="K13" s="7">
        <f>SMALL('OPERACIONES DE FORMULAS'!$D$5:$D$35,ROW()-1)</f>
        <v>25</v>
      </c>
    </row>
    <row r="14" spans="1:11" x14ac:dyDescent="0.25">
      <c r="A14" t="str">
        <f t="shared" si="0"/>
        <v>00</v>
      </c>
      <c r="B14">
        <f>INDEX(CANCIONES!C$5:C$100,SMALL('OPERACIONES DE FORMULAS'!$D$5:$D$35,ROW()-1)-4)</f>
        <v>0</v>
      </c>
      <c r="C14">
        <f>INDEX(CANCIONES!D$5:D$100,SMALL('OPERACIONES DE FORMULAS'!$D$5:$D$35,ROW()-1)-4)</f>
        <v>0</v>
      </c>
      <c r="D14">
        <f>INDEX(CANCIONES!E$5:E$100,SMALL('OPERACIONES DE FORMULAS'!$D$5:$D$35,ROW()-1)-4)</f>
        <v>0</v>
      </c>
      <c r="E14">
        <f>INDEX(CANCIONES!F$5:F$100,SMALL('OPERACIONES DE FORMULAS'!$D$5:$D$35,ROW()-1)-4)</f>
        <v>0</v>
      </c>
      <c r="F14">
        <f>INDEX(CANCIONES!G$5:G$100,SMALL('OPERACIONES DE FORMULAS'!$D$5:$D$35,ROW()-1)-4)</f>
        <v>0</v>
      </c>
      <c r="G14">
        <f>INDEX(CANCIONES!H$5:H$100,SMALL('OPERACIONES DE FORMULAS'!$D$5:$D$35,ROW()-1)-4)</f>
        <v>0</v>
      </c>
      <c r="K14" s="7">
        <f>SMALL('OPERACIONES DE FORMULAS'!$D$5:$D$35,ROW()-1)</f>
        <v>26</v>
      </c>
    </row>
    <row r="15" spans="1:11" x14ac:dyDescent="0.25">
      <c r="A15" t="str">
        <f t="shared" si="0"/>
        <v>00</v>
      </c>
      <c r="B15">
        <f>INDEX(CANCIONES!C$5:C$100,SMALL('OPERACIONES DE FORMULAS'!$D$5:$D$35,ROW()-1)-4)</f>
        <v>0</v>
      </c>
      <c r="C15">
        <f>INDEX(CANCIONES!D$5:D$100,SMALL('OPERACIONES DE FORMULAS'!$D$5:$D$35,ROW()-1)-4)</f>
        <v>0</v>
      </c>
      <c r="D15">
        <f>INDEX(CANCIONES!E$5:E$100,SMALL('OPERACIONES DE FORMULAS'!$D$5:$D$35,ROW()-1)-4)</f>
        <v>0</v>
      </c>
      <c r="E15">
        <f>INDEX(CANCIONES!F$5:F$100,SMALL('OPERACIONES DE FORMULAS'!$D$5:$D$35,ROW()-1)-4)</f>
        <v>0</v>
      </c>
      <c r="F15">
        <f>INDEX(CANCIONES!G$5:G$100,SMALL('OPERACIONES DE FORMULAS'!$D$5:$D$35,ROW()-1)-4)</f>
        <v>0</v>
      </c>
      <c r="G15">
        <f>INDEX(CANCIONES!H$5:H$100,SMALL('OPERACIONES DE FORMULAS'!$D$5:$D$35,ROW()-1)-4)</f>
        <v>0</v>
      </c>
      <c r="K15" s="7">
        <f>SMALL('OPERACIONES DE FORMULAS'!$D$5:$D$35,ROW()-1)</f>
        <v>27</v>
      </c>
    </row>
    <row r="16" spans="1:11" x14ac:dyDescent="0.25">
      <c r="B16">
        <f>INDEX(CANCIONES!C$5:C$100,SMALL('OPERACIONES DE FORMULAS'!$D$5:$D$35,ROW()-1)-4)</f>
        <v>0</v>
      </c>
      <c r="C16">
        <f>INDEX(CANCIONES!D$5:D$100,SMALL('OPERACIONES DE FORMULAS'!$D$5:$D$35,ROW()-1)-4)</f>
        <v>0</v>
      </c>
      <c r="D16">
        <f>INDEX(CANCIONES!E$5:E$100,SMALL('OPERACIONES DE FORMULAS'!$D$5:$D$35,ROW()-1)-4)</f>
        <v>0</v>
      </c>
      <c r="E16">
        <f>INDEX(CANCIONES!F$5:F$100,SMALL('OPERACIONES DE FORMULAS'!$D$5:$D$35,ROW()-1)-4)</f>
        <v>0</v>
      </c>
      <c r="F16">
        <f>INDEX(CANCIONES!G$5:G$100,SMALL('OPERACIONES DE FORMULAS'!$D$5:$D$35,ROW()-1)-4)</f>
        <v>0</v>
      </c>
      <c r="G16">
        <f>INDEX(CANCIONES!H$5:H$100,SMALL('OPERACIONES DE FORMULAS'!$D$5:$D$35,ROW()-1)-4)</f>
        <v>0</v>
      </c>
      <c r="K16" s="7">
        <f>SMALL('OPERACIONES DE FORMULAS'!$D$5:$D$35,ROW()-1)</f>
        <v>28</v>
      </c>
    </row>
    <row r="17" spans="2:11" x14ac:dyDescent="0.25">
      <c r="B17">
        <f>INDEX(CANCIONES!C$5:C$100,SMALL('OPERACIONES DE FORMULAS'!$D$5:$D$35,ROW()-1)-4)</f>
        <v>0</v>
      </c>
      <c r="C17">
        <f>INDEX(CANCIONES!D$5:D$100,SMALL('OPERACIONES DE FORMULAS'!$D$5:$D$35,ROW()-1)-4)</f>
        <v>0</v>
      </c>
      <c r="D17">
        <f>INDEX(CANCIONES!E$5:E$100,SMALL('OPERACIONES DE FORMULAS'!$D$5:$D$35,ROW()-1)-4)</f>
        <v>0</v>
      </c>
      <c r="E17">
        <f>INDEX(CANCIONES!F$5:F$100,SMALL('OPERACIONES DE FORMULAS'!$D$5:$D$35,ROW()-1)-4)</f>
        <v>0</v>
      </c>
      <c r="F17">
        <f>INDEX(CANCIONES!G$5:G$100,SMALL('OPERACIONES DE FORMULAS'!$D$5:$D$35,ROW()-1)-4)</f>
        <v>0</v>
      </c>
      <c r="G17">
        <f>INDEX(CANCIONES!H$5:H$100,SMALL('OPERACIONES DE FORMULAS'!$D$5:$D$35,ROW()-1)-4)</f>
        <v>0</v>
      </c>
      <c r="K17" s="7">
        <f>SMALL('OPERACIONES DE FORMULAS'!$D$5:$D$35,ROW()-1)</f>
        <v>29</v>
      </c>
    </row>
    <row r="18" spans="2:11" x14ac:dyDescent="0.25">
      <c r="B18">
        <f>INDEX(CANCIONES!C$5:C$100,SMALL('OPERACIONES DE FORMULAS'!$D$5:$D$35,ROW()-1)-4)</f>
        <v>0</v>
      </c>
      <c r="C18">
        <f>INDEX(CANCIONES!D$5:D$100,SMALL('OPERACIONES DE FORMULAS'!$D$5:$D$35,ROW()-1)-4)</f>
        <v>0</v>
      </c>
      <c r="D18">
        <f>INDEX(CANCIONES!E$5:E$100,SMALL('OPERACIONES DE FORMULAS'!$D$5:$D$35,ROW()-1)-4)</f>
        <v>0</v>
      </c>
      <c r="E18">
        <f>INDEX(CANCIONES!F$5:F$100,SMALL('OPERACIONES DE FORMULAS'!$D$5:$D$35,ROW()-1)-4)</f>
        <v>0</v>
      </c>
      <c r="F18">
        <f>INDEX(CANCIONES!G$5:G$100,SMALL('OPERACIONES DE FORMULAS'!$D$5:$D$35,ROW()-1)-4)</f>
        <v>0</v>
      </c>
      <c r="G18">
        <f>INDEX(CANCIONES!H$5:H$100,SMALL('OPERACIONES DE FORMULAS'!$D$5:$D$35,ROW()-1)-4)</f>
        <v>0</v>
      </c>
      <c r="K18" s="7">
        <f>SMALL('OPERACIONES DE FORMULAS'!$D$5:$D$35,ROW()-1)</f>
        <v>30</v>
      </c>
    </row>
    <row r="19" spans="2:11" x14ac:dyDescent="0.25">
      <c r="B19">
        <f>INDEX(CANCIONES!C$5:C$100,SMALL('OPERACIONES DE FORMULAS'!$D$5:$D$35,ROW()-1)-4)</f>
        <v>0</v>
      </c>
      <c r="C19">
        <f>INDEX(CANCIONES!D$5:D$100,SMALL('OPERACIONES DE FORMULAS'!$D$5:$D$35,ROW()-1)-4)</f>
        <v>0</v>
      </c>
      <c r="D19">
        <f>INDEX(CANCIONES!E$5:E$100,SMALL('OPERACIONES DE FORMULAS'!$D$5:$D$35,ROW()-1)-4)</f>
        <v>0</v>
      </c>
      <c r="E19">
        <f>INDEX(CANCIONES!F$5:F$100,SMALL('OPERACIONES DE FORMULAS'!$D$5:$D$35,ROW()-1)-4)</f>
        <v>0</v>
      </c>
      <c r="F19">
        <f>INDEX(CANCIONES!G$5:G$100,SMALL('OPERACIONES DE FORMULAS'!$D$5:$D$35,ROW()-1)-4)</f>
        <v>0</v>
      </c>
      <c r="G19">
        <f>INDEX(CANCIONES!H$5:H$100,SMALL('OPERACIONES DE FORMULAS'!$D$5:$D$35,ROW()-1)-4)</f>
        <v>0</v>
      </c>
    </row>
    <row r="20" spans="2:11" x14ac:dyDescent="0.25">
      <c r="B20">
        <f>INDEX(CANCIONES!C$5:C$100,SMALL('OPERACIONES DE FORMULAS'!$D$5:$D$35,ROW()-1)-4)</f>
        <v>0</v>
      </c>
      <c r="C20">
        <f>INDEX(CANCIONES!D$5:D$100,SMALL('OPERACIONES DE FORMULAS'!$D$5:$D$35,ROW()-1)-4)</f>
        <v>0</v>
      </c>
      <c r="D20">
        <f>INDEX(CANCIONES!E$5:E$100,SMALL('OPERACIONES DE FORMULAS'!$D$5:$D$35,ROW()-1)-4)</f>
        <v>0</v>
      </c>
      <c r="E20">
        <f>INDEX(CANCIONES!F$5:F$100,SMALL('OPERACIONES DE FORMULAS'!$D$5:$D$35,ROW()-1)-4)</f>
        <v>0</v>
      </c>
      <c r="F20">
        <f>INDEX(CANCIONES!G$5:G$100,SMALL('OPERACIONES DE FORMULAS'!$D$5:$D$35,ROW()-1)-4)</f>
        <v>0</v>
      </c>
      <c r="G20">
        <f>INDEX(CANCIONES!H$5:H$100,SMALL('OPERACIONES DE FORMULAS'!$D$5:$D$35,ROW()-1)-4)</f>
        <v>0</v>
      </c>
    </row>
    <row r="21" spans="2:11" x14ac:dyDescent="0.25">
      <c r="B21">
        <f>INDEX(CANCIONES!C$5:C$100,SMALL('OPERACIONES DE FORMULAS'!$D$5:$D$35,ROW()-1)-4)</f>
        <v>0</v>
      </c>
      <c r="C21">
        <f>INDEX(CANCIONES!D$5:D$100,SMALL('OPERACIONES DE FORMULAS'!$D$5:$D$35,ROW()-1)-4)</f>
        <v>0</v>
      </c>
      <c r="D21">
        <f>INDEX(CANCIONES!E$5:E$100,SMALL('OPERACIONES DE FORMULAS'!$D$5:$D$35,ROW()-1)-4)</f>
        <v>0</v>
      </c>
      <c r="E21">
        <f>INDEX(CANCIONES!F$5:F$100,SMALL('OPERACIONES DE FORMULAS'!$D$5:$D$35,ROW()-1)-4)</f>
        <v>0</v>
      </c>
      <c r="F21">
        <f>INDEX(CANCIONES!G$5:G$100,SMALL('OPERACIONES DE FORMULAS'!$D$5:$D$35,ROW()-1)-4)</f>
        <v>0</v>
      </c>
      <c r="G21">
        <f>INDEX(CANCIONES!H$5:H$100,SMALL('OPERACIONES DE FORMULAS'!$D$5:$D$35,ROW()-1)-4)</f>
        <v>0</v>
      </c>
    </row>
    <row r="22" spans="2:11" x14ac:dyDescent="0.25">
      <c r="B22">
        <f>INDEX(CANCIONES!C$5:C$100,SMALL('OPERACIONES DE FORMULAS'!$D$5:$D$35,ROW()-1)-4)</f>
        <v>0</v>
      </c>
      <c r="C22">
        <f>INDEX(CANCIONES!D$5:D$100,SMALL('OPERACIONES DE FORMULAS'!$D$5:$D$35,ROW()-1)-4)</f>
        <v>0</v>
      </c>
      <c r="D22">
        <f>INDEX(CANCIONES!E$5:E$100,SMALL('OPERACIONES DE FORMULAS'!$D$5:$D$35,ROW()-1)-4)</f>
        <v>0</v>
      </c>
      <c r="E22">
        <f>INDEX(CANCIONES!F$5:F$100,SMALL('OPERACIONES DE FORMULAS'!$D$5:$D$35,ROW()-1)-4)</f>
        <v>0</v>
      </c>
      <c r="F22">
        <f>INDEX(CANCIONES!G$5:G$100,SMALL('OPERACIONES DE FORMULAS'!$D$5:$D$35,ROW()-1)-4)</f>
        <v>0</v>
      </c>
      <c r="G22">
        <f>INDEX(CANCIONES!H$5:H$100,SMALL('OPERACIONES DE FORMULAS'!$D$5:$D$35,ROW()-1)-4)</f>
        <v>0</v>
      </c>
    </row>
    <row r="23" spans="2:11" x14ac:dyDescent="0.25">
      <c r="B23">
        <f>INDEX(CANCIONES!$B$5:$B$100,SMALL('OPERACIONES DE FORMULAS'!$D$5:$D$35,ROW()-1)-4)</f>
        <v>0</v>
      </c>
    </row>
    <row r="24" spans="2:11" x14ac:dyDescent="0.25">
      <c r="B24" t="e">
        <f>INDEX(CANCIONES!$B$5:$B$100,SMALL('OPERACIONES DE FORMULAS'!$D$5:$D$35,ROW()-1)-4)</f>
        <v>#NUM!</v>
      </c>
    </row>
    <row r="25" spans="2:11" x14ac:dyDescent="0.25">
      <c r="B25" t="e">
        <f>INDEX(CANCIONES!$B$5:$B$100,SMALL('OPERACIONES DE FORMULAS'!$D$5:$D$35,ROW()-1)-4)</f>
        <v>#NUM!</v>
      </c>
    </row>
    <row r="26" spans="2:11" x14ac:dyDescent="0.25">
      <c r="B26" t="e">
        <f>INDEX(CANCIONES!$B$5:$B$100,SMALL('OPERACIONES DE FORMULAS'!$D$5:$D$35,ROW()-1)-4)</f>
        <v>#NUM!</v>
      </c>
    </row>
    <row r="27" spans="2:11" x14ac:dyDescent="0.25">
      <c r="B27" t="e">
        <f>INDEX(CANCIONES!$B$5:$B$100,SMALL('OPERACIONES DE FORMULAS'!$D$5:$D$35,ROW()-1)-4)</f>
        <v>#NUM!</v>
      </c>
    </row>
    <row r="28" spans="2:11" x14ac:dyDescent="0.25">
      <c r="B28" t="e">
        <f>INDEX(CANCIONES!$B$5:$B$100,SMALL('OPERACIONES DE FORMULAS'!$D$5:$D$35,ROW()-1)-4)</f>
        <v>#NUM!</v>
      </c>
    </row>
    <row r="29" spans="2:11" x14ac:dyDescent="0.25">
      <c r="B29" t="e">
        <f>INDEX(CANCIONES!$B$5:$B$100,SMALL('OPERACIONES DE FORMULAS'!$D$5:$D$35,ROW()-1)-4)</f>
        <v>#NUM!</v>
      </c>
    </row>
    <row r="30" spans="2:11" x14ac:dyDescent="0.25">
      <c r="B30" t="e">
        <f>INDEX(CANCIONES!$B$5:$B$100,SMALL('OPERACIONES DE FORMULAS'!$D$5:$D$35,ROW()-1)-4)</f>
        <v>#NUM!</v>
      </c>
    </row>
    <row r="31" spans="2:11" x14ac:dyDescent="0.25">
      <c r="B31" t="e">
        <f>INDEX(CANCIONES!$B$5:$B$100,SMALL('OPERACIONES DE FORMULAS'!$D$5:$D$35,ROW()-1)-4)</f>
        <v>#NUM!</v>
      </c>
    </row>
    <row r="32" spans="2:11" x14ac:dyDescent="0.25">
      <c r="B32" t="e">
        <f>INDEX(CANCIONES!$B$5:$B$100,SMALL('OPERACIONES DE FORMULAS'!$D$5:$D$35,ROW()-1)-4)</f>
        <v>#NUM!</v>
      </c>
    </row>
    <row r="33" spans="2:2" x14ac:dyDescent="0.25">
      <c r="B33" t="e">
        <f>INDEX(CANCIONES!$B$5:$B$100,SMALL('OPERACIONES DE FORMULAS'!$D$5:$D$35,ROW()-1)-4)</f>
        <v>#NUM!</v>
      </c>
    </row>
    <row r="34" spans="2:2" x14ac:dyDescent="0.25">
      <c r="B34" t="e">
        <f>INDEX(CANCIONES!$B$5:$B$100,SMALL('OPERACIONES DE FORMULAS'!$D$5:$D$35,ROW()-1)-4)</f>
        <v>#NUM!</v>
      </c>
    </row>
    <row r="35" spans="2:2" x14ac:dyDescent="0.25">
      <c r="B35" t="e">
        <f>INDEX(CANCIONES!$B$5:$B$100,SMALL('OPERACIONES DE FORMULAS'!$D$5:$D$35,ROW()-1)-4)</f>
        <v>#NUM!</v>
      </c>
    </row>
    <row r="36" spans="2:2" x14ac:dyDescent="0.25">
      <c r="B36" t="e">
        <f>INDEX(CANCIONES!$B$5:$B$100,SMALL('OPERACIONES DE FORMULAS'!$D$5:$D$35,ROW()-1)-4)</f>
        <v>#NUM!</v>
      </c>
    </row>
    <row r="37" spans="2:2" x14ac:dyDescent="0.25">
      <c r="B37" t="e">
        <f>INDEX(CANCIONES!$B$5:$B$100,SMALL('OPERACIONES DE FORMULAS'!$D$5:$D$35,ROW()-1)-4)</f>
        <v>#NUM!</v>
      </c>
    </row>
    <row r="38" spans="2:2" x14ac:dyDescent="0.25">
      <c r="B38" t="e">
        <f>INDEX(CANCIONES!$B$5:$B$100,SMALL('OPERACIONES DE FORMULAS'!$D$5:$D$35,ROW()-1)-4)</f>
        <v>#NUM!</v>
      </c>
    </row>
    <row r="39" spans="2:2" x14ac:dyDescent="0.25">
      <c r="B39" t="e">
        <f>INDEX(CANCIONES!$B$5:$B$100,SMALL('OPERACIONES DE FORMULAS'!$D$5:$D$35,ROW()-1)-4)</f>
        <v>#NUM!</v>
      </c>
    </row>
    <row r="40" spans="2:2" x14ac:dyDescent="0.25">
      <c r="B40" t="e">
        <f>INDEX(CANCIONES!$B$5:$B$100,SMALL('OPERACIONES DE FORMULAS'!$D$5:$D$35,ROW()-1)-4)</f>
        <v>#NUM!</v>
      </c>
    </row>
    <row r="41" spans="2:2" x14ac:dyDescent="0.25">
      <c r="B41" t="e">
        <f>INDEX(CANCIONES!$B$5:$B$100,SMALL('OPERACIONES DE FORMULAS'!$D$5:$D$35,ROW()-1)-4)</f>
        <v>#NUM!</v>
      </c>
    </row>
    <row r="42" spans="2:2" x14ac:dyDescent="0.25">
      <c r="B42" t="e">
        <f>INDEX(CANCIONES!$B$5:$B$100,SMALL('OPERACIONES DE FORMULAS'!$D$5:$D$35,ROW()-1)-4)</f>
        <v>#NUM!</v>
      </c>
    </row>
    <row r="43" spans="2:2" x14ac:dyDescent="0.25">
      <c r="B43" t="e">
        <f>INDEX(CANCIONES!$B$5:$B$100,SMALL('OPERACIONES DE FORMULAS'!$D$5:$D$35,ROW()-1)-4)</f>
        <v>#NUM!</v>
      </c>
    </row>
    <row r="44" spans="2:2" x14ac:dyDescent="0.25">
      <c r="B44" t="e">
        <f>INDEX(CANCIONES!$B$5:$B$100,SMALL('OPERACIONES DE FORMULAS'!$D$5:$D$35,ROW()-1)-4)</f>
        <v>#NUM!</v>
      </c>
    </row>
    <row r="45" spans="2:2" x14ac:dyDescent="0.25">
      <c r="B45" t="e">
        <f>INDEX(CANCIONES!$B$5:$B$100,SMALL('OPERACIONES DE FORMULAS'!$D$5:$D$35,ROW()-1)-4)</f>
        <v>#NUM!</v>
      </c>
    </row>
    <row r="46" spans="2:2" x14ac:dyDescent="0.25">
      <c r="B46" t="e">
        <f>INDEX(CANCIONES!$B$5:$B$100,SMALL('OPERACIONES DE FORMULAS'!$D$5:$D$35,ROW()-1)-4)</f>
        <v>#NUM!</v>
      </c>
    </row>
    <row r="47" spans="2:2" x14ac:dyDescent="0.25">
      <c r="B47" t="e">
        <f>INDEX(CANCIONES!$B$5:$B$100,SMALL('OPERACIONES DE FORMULAS'!$D$5:$D$35,ROW()-1)-4)</f>
        <v>#NUM!</v>
      </c>
    </row>
    <row r="48" spans="2:2" x14ac:dyDescent="0.25">
      <c r="B48" t="e">
        <f>INDEX(CANCIONES!$B$5:$B$100,SMALL('OPERACIONES DE FORMULAS'!$D$5:$D$35,ROW()-1)-4)</f>
        <v>#NUM!</v>
      </c>
    </row>
    <row r="49" spans="2:2" x14ac:dyDescent="0.25">
      <c r="B49" t="e">
        <f>INDEX(CANCIONES!$B$5:$B$100,SMALL('OPERACIONES DE FORMULAS'!$D$5:$D$35,ROW()-1)-4)</f>
        <v>#NUM!</v>
      </c>
    </row>
    <row r="50" spans="2:2" x14ac:dyDescent="0.25">
      <c r="B50" t="e">
        <f>INDEX(CANCIONES!$B$5:$B$100,SMALL('OPERACIONES DE FORMULAS'!$D$5:$D$35,ROW()-1)-4)</f>
        <v>#NUM!</v>
      </c>
    </row>
    <row r="51" spans="2:2" x14ac:dyDescent="0.25">
      <c r="B51" t="e">
        <f>INDEX(CANCIONES!$B$5:$B$100,SMALL('OPERACIONES DE FORMULAS'!$D$5:$D$35,ROW()-1)-4)</f>
        <v>#NUM!</v>
      </c>
    </row>
    <row r="52" spans="2:2" x14ac:dyDescent="0.25">
      <c r="B52" t="e">
        <f>INDEX(CANCIONES!$B$5:$B$100,SMALL('OPERACIONES DE FORMULAS'!$D$5:$D$35,ROW()-1)-4)</f>
        <v>#NUM!</v>
      </c>
    </row>
    <row r="53" spans="2:2" x14ac:dyDescent="0.25">
      <c r="B53" t="e">
        <f>INDEX(CANCIONES!$B$5:$B$100,SMALL('OPERACIONES DE FORMULAS'!$D$5:$D$35,ROW()-1)-4)</f>
        <v>#NUM!</v>
      </c>
    </row>
    <row r="54" spans="2:2" x14ac:dyDescent="0.25">
      <c r="B54" t="e">
        <f>INDEX(CANCIONES!$B$5:$B$100,SMALL('OPERACIONES DE FORMULAS'!$D$5:$D$35,ROW()-1)-4)</f>
        <v>#NUM!</v>
      </c>
    </row>
    <row r="55" spans="2:2" x14ac:dyDescent="0.25">
      <c r="B55" t="e">
        <f>INDEX(CANCIONES!$B$5:$B$100,SMALL('OPERACIONES DE FORMULAS'!$D$5:$D$35,ROW()-1)-4)</f>
        <v>#NUM!</v>
      </c>
    </row>
    <row r="56" spans="2:2" x14ac:dyDescent="0.25">
      <c r="B56" t="e">
        <f>INDEX(CANCIONES!$B$5:$B$100,SMALL('OPERACIONES DE FORMULAS'!$D$5:$D$35,ROW()-1)-4)</f>
        <v>#NUM!</v>
      </c>
    </row>
    <row r="57" spans="2:2" x14ac:dyDescent="0.25">
      <c r="B57" t="e">
        <f>INDEX(CANCIONES!$B$5:$B$100,SMALL('OPERACIONES DE FORMULAS'!$D$5:$D$35,ROW()-1)-4)</f>
        <v>#NUM!</v>
      </c>
    </row>
    <row r="58" spans="2:2" x14ac:dyDescent="0.25">
      <c r="B58" t="e">
        <f>INDEX(CANCIONES!$B$5:$B$100,SMALL('OPERACIONES DE FORMULAS'!$D$5:$D$35,ROW()-1)-4)</f>
        <v>#NUM!</v>
      </c>
    </row>
    <row r="59" spans="2:2" x14ac:dyDescent="0.25">
      <c r="B59" t="e">
        <f>INDEX(CANCIONES!$B$5:$B$100,SMALL('OPERACIONES DE FORMULAS'!$D$5:$D$35,ROW()-1)-4)</f>
        <v>#NUM!</v>
      </c>
    </row>
    <row r="60" spans="2:2" x14ac:dyDescent="0.25">
      <c r="B60" t="e">
        <f>INDEX(CANCIONES!$B$5:$B$100,SMALL('OPERACIONES DE FORMULAS'!$D$5:$D$35,ROW()-1)-4)</f>
        <v>#NUM!</v>
      </c>
    </row>
    <row r="61" spans="2:2" x14ac:dyDescent="0.25">
      <c r="B61" t="e">
        <f>INDEX(CANCIONES!$B$5:$B$100,SMALL('OPERACIONES DE FORMULAS'!$D$5:$D$35,ROW()-1)-4)</f>
        <v>#NUM!</v>
      </c>
    </row>
    <row r="62" spans="2:2" x14ac:dyDescent="0.25">
      <c r="B62" t="e">
        <f>INDEX(CANCIONES!$B$5:$B$100,SMALL('OPERACIONES DE FORMULAS'!$D$5:$D$35,ROW()-1)-4)</f>
        <v>#NUM!</v>
      </c>
    </row>
    <row r="63" spans="2:2" x14ac:dyDescent="0.25">
      <c r="B63" t="e">
        <f>INDEX(CANCIONES!$B$5:$B$100,SMALL('OPERACIONES DE FORMULAS'!$D$5:$D$35,ROW()-1)-4)</f>
        <v>#NUM!</v>
      </c>
    </row>
    <row r="64" spans="2:2" x14ac:dyDescent="0.25">
      <c r="B64" t="e">
        <f>INDEX(CANCIONES!$B$5:$B$100,SMALL('OPERACIONES DE FORMULAS'!$D$5:$D$35,ROW()-1)-4)</f>
        <v>#NUM!</v>
      </c>
    </row>
    <row r="65" spans="2:2" x14ac:dyDescent="0.25">
      <c r="B65" t="e">
        <f>INDEX(CANCIONES!$B$5:$B$100,SMALL('OPERACIONES DE FORMULAS'!$D$5:$D$35,ROW()-1)-4)</f>
        <v>#NUM!</v>
      </c>
    </row>
    <row r="66" spans="2:2" x14ac:dyDescent="0.25">
      <c r="B66" t="e">
        <f>INDEX(CANCIONES!$B$5:$B$100,SMALL('OPERACIONES DE FORMULAS'!$D$5:$D$35,ROW()-1)-4)</f>
        <v>#NUM!</v>
      </c>
    </row>
    <row r="67" spans="2:2" x14ac:dyDescent="0.25">
      <c r="B67" t="e">
        <f>INDEX(CANCIONES!$B$5:$B$100,SMALL('OPERACIONES DE FORMULAS'!$D$5:$D$35,ROW()-1)-4)</f>
        <v>#NUM!</v>
      </c>
    </row>
    <row r="68" spans="2:2" x14ac:dyDescent="0.25">
      <c r="B68" t="e">
        <f>INDEX(CANCIONES!$B$5:$B$100,SMALL('OPERACIONES DE FORMULAS'!$D$5:$D$35,ROW()-1)-4)</f>
        <v>#NUM!</v>
      </c>
    </row>
    <row r="69" spans="2:2" x14ac:dyDescent="0.25">
      <c r="B69" t="e">
        <f>INDEX(CANCIONES!$B$5:$B$100,SMALL('OPERACIONES DE FORMULAS'!$D$5:$D$35,ROW()-1)-4)</f>
        <v>#NUM!</v>
      </c>
    </row>
    <row r="70" spans="2:2" x14ac:dyDescent="0.25">
      <c r="B70" t="e">
        <f>INDEX(CANCIONES!$B$5:$B$100,SMALL('OPERACIONES DE FORMULAS'!$D$5:$D$35,ROW()-1)-4)</f>
        <v>#NUM!</v>
      </c>
    </row>
    <row r="71" spans="2:2" x14ac:dyDescent="0.25">
      <c r="B71" t="e">
        <f>INDEX(CANCIONES!$B$5:$B$100,SMALL('OPERACIONES DE FORMULAS'!$D$5:$D$35,ROW()-1)-4)</f>
        <v>#NUM!</v>
      </c>
    </row>
    <row r="72" spans="2:2" x14ac:dyDescent="0.25">
      <c r="B72" t="e">
        <f>INDEX(CANCIONES!$B$5:$B$100,SMALL('OPERACIONES DE FORMULAS'!$D$5:$D$35,ROW()-1)-4)</f>
        <v>#NUM!</v>
      </c>
    </row>
    <row r="73" spans="2:2" x14ac:dyDescent="0.25">
      <c r="B73" t="e">
        <f>INDEX(CANCIONES!$B$5:$B$100,SMALL('OPERACIONES DE FORMULAS'!$D$5:$D$35,ROW()-1)-4)</f>
        <v>#NUM!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2396F-2B00-4C99-BED7-890F3FD75333}">
  <sheetPr codeName="Hoja3"/>
  <dimension ref="D4:G61"/>
  <sheetViews>
    <sheetView workbookViewId="0">
      <selection activeCell="G5" sqref="G5"/>
    </sheetView>
  </sheetViews>
  <sheetFormatPr baseColWidth="10" defaultRowHeight="15" x14ac:dyDescent="0.25"/>
  <cols>
    <col min="4" max="4" width="12.7109375" customWidth="1"/>
    <col min="7" max="7" width="14.7109375" customWidth="1"/>
  </cols>
  <sheetData>
    <row r="4" spans="4:7" ht="39" customHeight="1" x14ac:dyDescent="0.25">
      <c r="D4" s="10" t="s">
        <v>41</v>
      </c>
      <c r="G4" s="13" t="s">
        <v>44</v>
      </c>
    </row>
    <row r="5" spans="4:7" x14ac:dyDescent="0.25">
      <c r="D5" t="b">
        <f>IF(CANCIONES!$C$5:$C$200=Index!$C$2,ROW())</f>
        <v>0</v>
      </c>
      <c r="G5" t="str">
        <f>IFERROR(INDEX(CANCIONES!$C$5:$C$13,MATCH(ROWS(CANCIONES!$A$5:A5),CANCIONES!$A$5:$A$13,0)),"")</f>
        <v>Replay</v>
      </c>
    </row>
    <row r="6" spans="4:7" x14ac:dyDescent="0.25">
      <c r="D6" t="b">
        <f>IF(CANCIONES!$C$5:$C$200=Index!$C$2,ROW())</f>
        <v>0</v>
      </c>
      <c r="G6" t="str">
        <f>IFERROR(INDEX(CANCIONES!$C$5:$C$13,MATCH(ROWS(CANCIONES!$A$5:A6),CANCIONES!$A$5:$A$13,0)),"")</f>
        <v>Otra cancion</v>
      </c>
    </row>
    <row r="7" spans="4:7" x14ac:dyDescent="0.25">
      <c r="D7" t="b">
        <f>IF(CANCIONES!$C$5:$C$200=Index!$C$2,ROW())</f>
        <v>0</v>
      </c>
      <c r="G7" t="str">
        <f>IFERROR(INDEX(CANCIONES!$C$5:$C$13,MATCH(ROWS(CANCIONES!$A$5:A7),CANCIONES!$A$5:$A$13,0)),"")</f>
        <v/>
      </c>
    </row>
    <row r="8" spans="4:7" x14ac:dyDescent="0.25">
      <c r="D8" t="b">
        <f>IF(CANCIONES!$C$5:$C$200=Index!$C$2,ROW())</f>
        <v>0</v>
      </c>
      <c r="G8" t="str">
        <f>IFERROR(INDEX(CANCIONES!$C$5:$C$13,MATCH(ROWS(CANCIONES!$A$5:A8),CANCIONES!$A$5:$A$13,0)),"")</f>
        <v/>
      </c>
    </row>
    <row r="9" spans="4:7" x14ac:dyDescent="0.25">
      <c r="D9" t="b">
        <f>IF(CANCIONES!$C$5:$C$200=Index!$C$2,ROW())</f>
        <v>0</v>
      </c>
      <c r="G9" t="str">
        <f>IFERROR(INDEX(CANCIONES!$C$5:$C$13,MATCH(ROWS(CANCIONES!$A$5:A9),CANCIONES!$A$5:$A$13,0)),"")</f>
        <v/>
      </c>
    </row>
    <row r="10" spans="4:7" x14ac:dyDescent="0.25">
      <c r="D10" t="b">
        <f>IF(CANCIONES!$C$5:$C$200=Index!$C$2,ROW())</f>
        <v>0</v>
      </c>
      <c r="G10" t="str">
        <f>IFERROR(INDEX(CANCIONES!$C$5:$C$13,MATCH(ROWS(CANCIONES!$A$5:A10),CANCIONES!$A$5:$A$13,0)),"")</f>
        <v/>
      </c>
    </row>
    <row r="11" spans="4:7" x14ac:dyDescent="0.25">
      <c r="D11" t="b">
        <f>IF(CANCIONES!$C$5:$C$200=Index!$C$2,ROW())</f>
        <v>0</v>
      </c>
      <c r="G11" t="str">
        <f>IFERROR(INDEX(CANCIONES!$C$5:$C$13,MATCH(ROWS(CANCIONES!$A$5:A11),CANCIONES!$A$5:$A$13,0)),"")</f>
        <v/>
      </c>
    </row>
    <row r="12" spans="4:7" x14ac:dyDescent="0.25">
      <c r="D12" t="b">
        <f>IF(CANCIONES!$C$5:$C$200=Index!$C$2,ROW())</f>
        <v>0</v>
      </c>
      <c r="G12" t="str">
        <f>IFERROR(INDEX(CANCIONES!$C$5:$C$13,MATCH(ROWS(CANCIONES!$A$5:A12),CANCIONES!$A$5:$A$13,0)),"")</f>
        <v/>
      </c>
    </row>
    <row r="13" spans="4:7" x14ac:dyDescent="0.25">
      <c r="D13" t="b">
        <f>IF(CANCIONES!$C$5:$C$200=Index!$C$2,ROW())</f>
        <v>0</v>
      </c>
      <c r="G13" t="str">
        <f>IFERROR(INDEX(CANCIONES!$C$5:$C$13,MATCH(ROWS(CANCIONES!$A$5:A13),CANCIONES!$A$5:$A$13,0)),"")</f>
        <v/>
      </c>
    </row>
    <row r="14" spans="4:7" x14ac:dyDescent="0.25">
      <c r="D14">
        <f>IF(CANCIONES!$C$5:$C$200=Index!$C$2,ROW())</f>
        <v>14</v>
      </c>
      <c r="G14" t="str">
        <f>IFERROR(INDEX(CANCIONES!$C$5:$C$13,MATCH(ROWS(CANCIONES!$A$5:A14),CANCIONES!$A$5:$A$13,0)),"")</f>
        <v/>
      </c>
    </row>
    <row r="15" spans="4:7" x14ac:dyDescent="0.25">
      <c r="D15">
        <f>IF(CANCIONES!$C$5:$C$200=Index!$C$2,ROW())</f>
        <v>15</v>
      </c>
      <c r="G15" t="str">
        <f>IFERROR(INDEX(CANCIONES!$C$5:$C$13,MATCH(ROWS(CANCIONES!$A$5:A15),CANCIONES!$A$5:$A$13,0)),"")</f>
        <v/>
      </c>
    </row>
    <row r="16" spans="4:7" x14ac:dyDescent="0.25">
      <c r="D16">
        <f>IF(CANCIONES!$C$5:$C$200=Index!$C$2,ROW())</f>
        <v>16</v>
      </c>
      <c r="G16" t="str">
        <f>IFERROR(INDEX(CANCIONES!$C$5:$C$13,MATCH(ROWS(CANCIONES!$A$5:A16),CANCIONES!$A$5:$A$13,0)),"")</f>
        <v/>
      </c>
    </row>
    <row r="17" spans="4:7" x14ac:dyDescent="0.25">
      <c r="D17">
        <f>IF(CANCIONES!$C$5:$C$200=Index!$C$2,ROW())</f>
        <v>17</v>
      </c>
      <c r="G17" t="str">
        <f>IFERROR(INDEX(CANCIONES!$C$5:$C$13,MATCH(ROWS(CANCIONES!$A$5:A17),CANCIONES!$A$5:$A$13,0)),"")</f>
        <v/>
      </c>
    </row>
    <row r="18" spans="4:7" x14ac:dyDescent="0.25">
      <c r="D18">
        <f>IF(CANCIONES!$C$5:$C$200=Index!$C$2,ROW())</f>
        <v>18</v>
      </c>
      <c r="G18" t="str">
        <f>IFERROR(INDEX(CANCIONES!$C$5:$C$13,MATCH(ROWS(CANCIONES!$A$5:A18),CANCIONES!$A$5:$A$13,0)),"")</f>
        <v/>
      </c>
    </row>
    <row r="19" spans="4:7" x14ac:dyDescent="0.25">
      <c r="D19">
        <f>IF(CANCIONES!$C$5:$C$200=Index!$C$2,ROW())</f>
        <v>19</v>
      </c>
      <c r="G19" t="str">
        <f>IFERROR(INDEX(CANCIONES!$C$5:$C$13,MATCH(ROWS(CANCIONES!$A$5:A19),CANCIONES!$A$5:$A$13,0)),"")</f>
        <v/>
      </c>
    </row>
    <row r="20" spans="4:7" x14ac:dyDescent="0.25">
      <c r="D20">
        <f>IF(CANCIONES!$C$5:$C$200=Index!$C$2,ROW())</f>
        <v>20</v>
      </c>
      <c r="G20" t="str">
        <f>IFERROR(INDEX(CANCIONES!$C$5:$C$13,MATCH(ROWS(CANCIONES!$A$5:A20),CANCIONES!$A$5:$A$13,0)),"")</f>
        <v/>
      </c>
    </row>
    <row r="21" spans="4:7" x14ac:dyDescent="0.25">
      <c r="D21">
        <f>IF(CANCIONES!$C$5:$C$200=Index!$C$2,ROW())</f>
        <v>21</v>
      </c>
      <c r="G21" t="str">
        <f>IFERROR(INDEX(CANCIONES!$C$5:$C$13,MATCH(ROWS(CANCIONES!$A$5:A21),CANCIONES!$A$5:$A$13,0)),"")</f>
        <v/>
      </c>
    </row>
    <row r="22" spans="4:7" x14ac:dyDescent="0.25">
      <c r="D22">
        <f>IF(CANCIONES!$C$5:$C$200=Index!$C$2,ROW())</f>
        <v>22</v>
      </c>
      <c r="G22" t="str">
        <f>IFERROR(INDEX(CANCIONES!$C$5:$C$13,MATCH(ROWS(CANCIONES!$A$5:A22),CANCIONES!$A$5:$A$13,0)),"")</f>
        <v/>
      </c>
    </row>
    <row r="23" spans="4:7" x14ac:dyDescent="0.25">
      <c r="D23">
        <f>IF(CANCIONES!$C$5:$C$200=Index!$C$2,ROW())</f>
        <v>23</v>
      </c>
      <c r="G23" t="str">
        <f>IFERROR(INDEX(CANCIONES!$C$5:$C$13,MATCH(ROWS(CANCIONES!$A$5:A23),CANCIONES!$A$5:$A$13,0)),"")</f>
        <v/>
      </c>
    </row>
    <row r="24" spans="4:7" x14ac:dyDescent="0.25">
      <c r="D24">
        <f>IF(CANCIONES!$C$5:$C$200=Index!$C$2,ROW())</f>
        <v>24</v>
      </c>
      <c r="G24" t="str">
        <f>IFERROR(INDEX(CANCIONES!$C$5:$C$13,MATCH(ROWS(CANCIONES!$A$5:A24),CANCIONES!$A$5:$A$13,0)),"")</f>
        <v/>
      </c>
    </row>
    <row r="25" spans="4:7" x14ac:dyDescent="0.25">
      <c r="D25">
        <f>IF(CANCIONES!$C$5:$C$200=Index!$C$2,ROW())</f>
        <v>25</v>
      </c>
      <c r="G25" t="str">
        <f>IFERROR(INDEX(CANCIONES!$C$5:$C$13,MATCH(ROWS(CANCIONES!$A$5:A25),CANCIONES!$A$5:$A$13,0)),"")</f>
        <v/>
      </c>
    </row>
    <row r="26" spans="4:7" x14ac:dyDescent="0.25">
      <c r="D26">
        <f>IF(CANCIONES!$C$5:$C$200=Index!$C$2,ROW())</f>
        <v>26</v>
      </c>
      <c r="G26" t="str">
        <f>IFERROR(INDEX(CANCIONES!$C$5:$C$13,MATCH(ROWS(CANCIONES!$A$5:A26),CANCIONES!$A$5:$A$13,0)),"")</f>
        <v/>
      </c>
    </row>
    <row r="27" spans="4:7" x14ac:dyDescent="0.25">
      <c r="D27">
        <f>IF(CANCIONES!$C$5:$C$200=Index!$C$2,ROW())</f>
        <v>27</v>
      </c>
      <c r="G27" t="str">
        <f>IFERROR(INDEX(CANCIONES!$C$5:$C$13,MATCH(ROWS(CANCIONES!$A$5:A27),CANCIONES!$A$5:$A$13,0)),"")</f>
        <v/>
      </c>
    </row>
    <row r="28" spans="4:7" x14ac:dyDescent="0.25">
      <c r="D28">
        <f>IF(CANCIONES!$C$5:$C$200=Index!$C$2,ROW())</f>
        <v>28</v>
      </c>
      <c r="G28" t="str">
        <f>IFERROR(INDEX(CANCIONES!$C$5:$C$13,MATCH(ROWS(CANCIONES!$A$5:A28),CANCIONES!$A$5:$A$13,0)),"")</f>
        <v/>
      </c>
    </row>
    <row r="29" spans="4:7" x14ac:dyDescent="0.25">
      <c r="D29">
        <f>IF(CANCIONES!$C$5:$C$200=Index!$C$2,ROW())</f>
        <v>29</v>
      </c>
      <c r="G29" t="str">
        <f>IFERROR(INDEX(CANCIONES!$C$5:$C$13,MATCH(ROWS(CANCIONES!$A$5:A29),CANCIONES!$A$5:$A$13,0)),"")</f>
        <v/>
      </c>
    </row>
    <row r="30" spans="4:7" x14ac:dyDescent="0.25">
      <c r="D30">
        <f>IF(CANCIONES!$C$5:$C$200=Index!$C$2,ROW())</f>
        <v>30</v>
      </c>
      <c r="G30" t="str">
        <f>IFERROR(INDEX(CANCIONES!$C$5:$C$13,MATCH(ROWS(CANCIONES!$A$5:A30),CANCIONES!$A$5:$A$13,0)),"")</f>
        <v/>
      </c>
    </row>
    <row r="31" spans="4:7" x14ac:dyDescent="0.25">
      <c r="D31">
        <f>IF(CANCIONES!$C$5:$C$200=Index!$C$2,ROW())</f>
        <v>31</v>
      </c>
      <c r="G31" t="str">
        <f>IFERROR(INDEX(CANCIONES!$C$5:$C$13,MATCH(ROWS(CANCIONES!$A$5:A31),CANCIONES!$A$5:$A$13,0)),"")</f>
        <v/>
      </c>
    </row>
    <row r="32" spans="4:7" x14ac:dyDescent="0.25">
      <c r="D32">
        <f>IF(CANCIONES!$C$5:$C$200=Index!$C$2,ROW())</f>
        <v>32</v>
      </c>
      <c r="G32" t="str">
        <f>IFERROR(INDEX(CANCIONES!$C$5:$C$13,MATCH(ROWS(CANCIONES!$A$5:A32),CANCIONES!$A$5:$A$13,0)),"")</f>
        <v/>
      </c>
    </row>
    <row r="33" spans="4:7" x14ac:dyDescent="0.25">
      <c r="D33">
        <f>IF(CANCIONES!$C$5:$C$200=Index!$C$2,ROW())</f>
        <v>33</v>
      </c>
      <c r="G33" t="str">
        <f>IFERROR(INDEX(CANCIONES!$C$5:$C$13,MATCH(ROWS(CANCIONES!$A$5:A33),CANCIONES!$A$5:$A$13,0)),"")</f>
        <v/>
      </c>
    </row>
    <row r="34" spans="4:7" x14ac:dyDescent="0.25">
      <c r="D34">
        <f>IF(CANCIONES!$C$5:$C$200=Index!$C$2,ROW())</f>
        <v>34</v>
      </c>
      <c r="G34" t="str">
        <f>IFERROR(INDEX(CANCIONES!$C$5:$C$13,MATCH(ROWS(CANCIONES!$A$5:A34),CANCIONES!$A$5:$A$13,0)),"")</f>
        <v/>
      </c>
    </row>
    <row r="35" spans="4:7" x14ac:dyDescent="0.25">
      <c r="D35">
        <f>IF(CANCIONES!$C$5:$C$200=Index!$C$2,ROW())</f>
        <v>35</v>
      </c>
      <c r="G35" t="str">
        <f>IFERROR(INDEX(CANCIONES!$C$5:$C$13,MATCH(ROWS(CANCIONES!$A$5:A35),CANCIONES!$A$5:$A$13,0)),"")</f>
        <v/>
      </c>
    </row>
    <row r="36" spans="4:7" x14ac:dyDescent="0.25">
      <c r="D36">
        <f>IF(CANCIONES!$C$5:$C$200=Index!$C$2,ROW())</f>
        <v>36</v>
      </c>
      <c r="G36" t="str">
        <f>IFERROR(INDEX(CANCIONES!$C$5:$C$13,MATCH(ROWS(CANCIONES!$A$5:A36),CANCIONES!$A$5:$A$13,0)),"")</f>
        <v/>
      </c>
    </row>
    <row r="37" spans="4:7" x14ac:dyDescent="0.25">
      <c r="D37">
        <f>IF(CANCIONES!$C$5:$C$200=Index!$C$2,ROW())</f>
        <v>37</v>
      </c>
      <c r="G37" t="str">
        <f>IFERROR(INDEX(CANCIONES!$C$5:$C$13,MATCH(ROWS(CANCIONES!$A$5:A37),CANCIONES!$A$5:$A$13,0)),"")</f>
        <v/>
      </c>
    </row>
    <row r="38" spans="4:7" x14ac:dyDescent="0.25">
      <c r="D38">
        <f>IF(CANCIONES!$C$5:$C$200=Index!$C$2,ROW())</f>
        <v>38</v>
      </c>
      <c r="G38" t="str">
        <f>IFERROR(INDEX(CANCIONES!$C$5:$C$13,MATCH(ROWS(CANCIONES!$A$5:A38),CANCIONES!$A$5:$A$13,0)),"")</f>
        <v/>
      </c>
    </row>
    <row r="39" spans="4:7" x14ac:dyDescent="0.25">
      <c r="D39">
        <f>IF(CANCIONES!$C$5:$C$200=Index!$C$2,ROW())</f>
        <v>39</v>
      </c>
      <c r="G39" t="str">
        <f>IFERROR(INDEX(CANCIONES!$C$5:$C$13,MATCH(ROWS(CANCIONES!$A$5:A39),CANCIONES!$A$5:$A$13,0)),"")</f>
        <v/>
      </c>
    </row>
    <row r="40" spans="4:7" x14ac:dyDescent="0.25">
      <c r="D40">
        <f>IF(CANCIONES!$C$5:$C$200=Index!$C$2,ROW())</f>
        <v>40</v>
      </c>
      <c r="G40" t="str">
        <f>IFERROR(INDEX(CANCIONES!$C$5:$C$13,MATCH(ROWS(CANCIONES!$A$5:A40),CANCIONES!$A$5:$A$13,0)),"")</f>
        <v/>
      </c>
    </row>
    <row r="41" spans="4:7" x14ac:dyDescent="0.25">
      <c r="D41">
        <f>IF(CANCIONES!$C$5:$C$200=Index!$C$2,ROW())</f>
        <v>41</v>
      </c>
      <c r="G41" t="str">
        <f>IFERROR(INDEX(CANCIONES!$C$5:$C$13,MATCH(ROWS(CANCIONES!$A$5:A41),CANCIONES!$A$5:$A$13,0)),"")</f>
        <v/>
      </c>
    </row>
    <row r="42" spans="4:7" x14ac:dyDescent="0.25">
      <c r="D42">
        <f>IF(CANCIONES!$C$5:$C$200=Index!$C$2,ROW())</f>
        <v>42</v>
      </c>
      <c r="G42" t="str">
        <f>IFERROR(INDEX(CANCIONES!$C$5:$C$13,MATCH(ROWS(CANCIONES!$A$5:A42),CANCIONES!$A$5:$A$13,0)),"")</f>
        <v/>
      </c>
    </row>
    <row r="43" spans="4:7" x14ac:dyDescent="0.25">
      <c r="D43">
        <f>IF(CANCIONES!$C$5:$C$200=Index!$C$2,ROW())</f>
        <v>43</v>
      </c>
      <c r="G43" t="str">
        <f>IFERROR(INDEX(CANCIONES!$C$5:$C$13,MATCH(ROWS(CANCIONES!$A$5:A43),CANCIONES!$A$5:$A$13,0)),"")</f>
        <v/>
      </c>
    </row>
    <row r="44" spans="4:7" x14ac:dyDescent="0.25">
      <c r="D44">
        <f>IF(CANCIONES!$C$5:$C$200=Index!$C$2,ROW())</f>
        <v>44</v>
      </c>
      <c r="G44" t="str">
        <f>IFERROR(INDEX(CANCIONES!$C$5:$C$13,MATCH(ROWS(CANCIONES!$A$5:A44),CANCIONES!$A$5:$A$13,0)),"")</f>
        <v/>
      </c>
    </row>
    <row r="45" spans="4:7" x14ac:dyDescent="0.25">
      <c r="D45">
        <f>IF(CANCIONES!$C$5:$C$200=Index!$C$2,ROW())</f>
        <v>45</v>
      </c>
      <c r="G45" t="str">
        <f>IFERROR(INDEX(CANCIONES!$C$5:$C$13,MATCH(ROWS(CANCIONES!$A$5:A45),CANCIONES!$A$5:$A$13,0)),"")</f>
        <v/>
      </c>
    </row>
    <row r="46" spans="4:7" x14ac:dyDescent="0.25">
      <c r="D46">
        <f>IF(CANCIONES!$C$5:$C$200=Index!$C$2,ROW())</f>
        <v>46</v>
      </c>
      <c r="G46" t="str">
        <f>IFERROR(INDEX(CANCIONES!$C$5:$C$13,MATCH(ROWS(CANCIONES!$A$5:A46),CANCIONES!$A$5:$A$13,0)),"")</f>
        <v/>
      </c>
    </row>
    <row r="47" spans="4:7" x14ac:dyDescent="0.25">
      <c r="D47">
        <f>IF(CANCIONES!$C$5:$C$200=Index!$C$2,ROW())</f>
        <v>47</v>
      </c>
      <c r="G47" t="str">
        <f>IFERROR(INDEX(CANCIONES!$C$5:$C$13,MATCH(ROWS(CANCIONES!$A$5:A47),CANCIONES!$A$5:$A$13,0)),"")</f>
        <v/>
      </c>
    </row>
    <row r="48" spans="4:7" x14ac:dyDescent="0.25">
      <c r="D48">
        <f>IF(CANCIONES!$C$5:$C$200=Index!$C$2,ROW())</f>
        <v>48</v>
      </c>
      <c r="G48" t="str">
        <f>IFERROR(INDEX(CANCIONES!$C$5:$C$13,MATCH(ROWS(CANCIONES!$A$5:A48),CANCIONES!$A$5:$A$13,0)),"")</f>
        <v/>
      </c>
    </row>
    <row r="49" spans="4:7" x14ac:dyDescent="0.25">
      <c r="D49">
        <f>IF(CANCIONES!$C$5:$C$200=Index!$C$2,ROW())</f>
        <v>49</v>
      </c>
      <c r="G49" t="str">
        <f>IFERROR(INDEX(CANCIONES!$C$5:$C$13,MATCH(ROWS(CANCIONES!$A$5:A49),CANCIONES!$A$5:$A$13,0)),"")</f>
        <v/>
      </c>
    </row>
    <row r="50" spans="4:7" x14ac:dyDescent="0.25">
      <c r="D50">
        <f>IF(CANCIONES!$C$5:$C$200=Index!$C$2,ROW())</f>
        <v>50</v>
      </c>
      <c r="G50" t="str">
        <f>IFERROR(INDEX(CANCIONES!$C$5:$C$13,MATCH(ROWS(CANCIONES!$A$5:A50),CANCIONES!$A$5:$A$13,0)),"")</f>
        <v/>
      </c>
    </row>
    <row r="51" spans="4:7" x14ac:dyDescent="0.25">
      <c r="D51">
        <f>IF(CANCIONES!$C$5:$C$200=Index!$C$2,ROW())</f>
        <v>51</v>
      </c>
      <c r="G51" t="str">
        <f>IFERROR(INDEX(CANCIONES!$C$5:$C$13,MATCH(ROWS(CANCIONES!$A$5:A51),CANCIONES!$A$5:$A$13,0)),"")</f>
        <v/>
      </c>
    </row>
    <row r="52" spans="4:7" x14ac:dyDescent="0.25">
      <c r="D52">
        <f>IF(CANCIONES!$C$5:$C$200=Index!$C$2,ROW())</f>
        <v>52</v>
      </c>
      <c r="G52" t="str">
        <f>IFERROR(INDEX(CANCIONES!$C$5:$C$13,MATCH(ROWS(CANCIONES!$A$5:A52),CANCIONES!$A$5:$A$13,0)),"")</f>
        <v/>
      </c>
    </row>
    <row r="53" spans="4:7" x14ac:dyDescent="0.25">
      <c r="D53">
        <f>IF(CANCIONES!$C$5:$C$200=Index!$C$2,ROW())</f>
        <v>53</v>
      </c>
      <c r="G53" t="str">
        <f>IFERROR(INDEX(CANCIONES!$C$5:$C$13,MATCH(ROWS(CANCIONES!$A$5:A53),CANCIONES!$A$5:$A$13,0)),"")</f>
        <v/>
      </c>
    </row>
    <row r="54" spans="4:7" x14ac:dyDescent="0.25">
      <c r="D54">
        <f>IF(CANCIONES!$C$5:$C$200=Index!$C$2,ROW())</f>
        <v>54</v>
      </c>
      <c r="G54" t="str">
        <f>IFERROR(INDEX(CANCIONES!$C$5:$C$13,MATCH(ROWS(CANCIONES!$A$5:A54),CANCIONES!$A$5:$A$13,0)),"")</f>
        <v/>
      </c>
    </row>
    <row r="55" spans="4:7" x14ac:dyDescent="0.25">
      <c r="D55">
        <f>IF(CANCIONES!$C$5:$C$200=Index!$C$2,ROW())</f>
        <v>55</v>
      </c>
      <c r="G55" t="str">
        <f>IFERROR(INDEX(CANCIONES!$C$5:$C$13,MATCH(ROWS(CANCIONES!$A$5:A55),CANCIONES!$A$5:$A$13,0)),"")</f>
        <v/>
      </c>
    </row>
    <row r="56" spans="4:7" x14ac:dyDescent="0.25">
      <c r="D56">
        <f>IF(CANCIONES!$C$5:$C$200=Index!$C$2,ROW())</f>
        <v>56</v>
      </c>
      <c r="G56" t="str">
        <f>IFERROR(INDEX(CANCIONES!$C$5:$C$13,MATCH(ROWS(CANCIONES!$A$5:A56),CANCIONES!$A$5:$A$13,0)),"")</f>
        <v/>
      </c>
    </row>
    <row r="57" spans="4:7" x14ac:dyDescent="0.25">
      <c r="D57">
        <f>IF(CANCIONES!$C$5:$C$200=Index!$C$2,ROW())</f>
        <v>57</v>
      </c>
      <c r="G57" t="str">
        <f>IFERROR(INDEX(CANCIONES!$C$5:$C$13,MATCH(ROWS(CANCIONES!$A$5:A57),CANCIONES!$A$5:$A$13,0)),"")</f>
        <v/>
      </c>
    </row>
    <row r="58" spans="4:7" x14ac:dyDescent="0.25">
      <c r="D58">
        <f>IF(CANCIONES!$C$5:$C$200=Index!$C$2,ROW())</f>
        <v>58</v>
      </c>
      <c r="G58" t="str">
        <f>IFERROR(INDEX(CANCIONES!$C$5:$C$13,MATCH(ROWS(CANCIONES!$A$5:A58),CANCIONES!$A$5:$A$13,0)),"")</f>
        <v/>
      </c>
    </row>
    <row r="59" spans="4:7" x14ac:dyDescent="0.25">
      <c r="D59">
        <f>IF(CANCIONES!$C$5:$C$200=Index!$C$2,ROW())</f>
        <v>59</v>
      </c>
      <c r="G59" t="str">
        <f>IFERROR(INDEX(CANCIONES!$C$5:$C$13,MATCH(ROWS(CANCIONES!$A$5:A59),CANCIONES!$A$5:$A$13,0)),"")</f>
        <v/>
      </c>
    </row>
    <row r="60" spans="4:7" x14ac:dyDescent="0.25">
      <c r="D60">
        <f>IF(CANCIONES!$C$5:$C$200=Index!$C$2,ROW())</f>
        <v>60</v>
      </c>
      <c r="G60" t="str">
        <f>IFERROR(INDEX(CANCIONES!$C$5:$C$13,MATCH(ROWS(CANCIONES!$A$5:A60),CANCIONES!$A$5:$A$13,0)),"")</f>
        <v/>
      </c>
    </row>
    <row r="61" spans="4:7" x14ac:dyDescent="0.25">
      <c r="D61">
        <f>IF(CANCIONES!$C$5:$C$200=Index!$C$2,ROW())</f>
        <v>61</v>
      </c>
      <c r="G61" t="str">
        <f>IFERROR(INDEX(CANCIONES!$C$5:$C$13,MATCH(ROWS(CANCIONES!$A$5:A61),CANCIONES!$A$5:$A$13,0)),"")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2CD92-9487-4DC1-8D1C-E88C0F5EF3CB}">
  <sheetPr codeName="Hoja4"/>
  <dimension ref="A2:L13"/>
  <sheetViews>
    <sheetView topLeftCell="A2" workbookViewId="0">
      <selection activeCell="E16" sqref="E16"/>
    </sheetView>
  </sheetViews>
  <sheetFormatPr baseColWidth="10" defaultRowHeight="15" x14ac:dyDescent="0.25"/>
  <cols>
    <col min="1" max="1" width="13.7109375" customWidth="1"/>
    <col min="3" max="3" width="11.7109375" customWidth="1"/>
    <col min="4" max="4" width="14.28515625" customWidth="1"/>
    <col min="5" max="5" width="49" customWidth="1"/>
  </cols>
  <sheetData>
    <row r="2" spans="1:12" x14ac:dyDescent="0.25">
      <c r="D2" s="2" t="s">
        <v>4</v>
      </c>
      <c r="E2" s="1">
        <v>4</v>
      </c>
    </row>
    <row r="3" spans="1:12" x14ac:dyDescent="0.25">
      <c r="I3" s="3" t="s">
        <v>5</v>
      </c>
      <c r="J3" s="4" t="s">
        <v>6</v>
      </c>
      <c r="K3" s="5" t="s">
        <v>7</v>
      </c>
      <c r="L3" s="6" t="s">
        <v>8</v>
      </c>
    </row>
    <row r="4" spans="1:12" ht="31.5" customHeight="1" x14ac:dyDescent="0.25">
      <c r="A4" s="9" t="s">
        <v>43</v>
      </c>
      <c r="B4" s="11" t="s">
        <v>42</v>
      </c>
      <c r="C4" s="11" t="s">
        <v>26</v>
      </c>
      <c r="D4" s="11" t="s">
        <v>27</v>
      </c>
      <c r="E4" s="11" t="s">
        <v>0</v>
      </c>
      <c r="F4" s="11" t="s">
        <v>1</v>
      </c>
      <c r="G4" s="11" t="s">
        <v>11</v>
      </c>
      <c r="H4" s="11" t="s">
        <v>3</v>
      </c>
      <c r="I4" s="19" t="s">
        <v>25</v>
      </c>
      <c r="J4" s="19"/>
      <c r="K4" s="19"/>
      <c r="L4" s="19"/>
    </row>
    <row r="5" spans="1:12" ht="16.5" thickBot="1" x14ac:dyDescent="0.3">
      <c r="A5" s="15">
        <f>IF(B5=1,COUNTIF($B$5:B5,1),"")</f>
        <v>1</v>
      </c>
      <c r="B5" s="15">
        <f>--ISNUMBER(IFERROR(SEARCH(Index!$C$2,C5,1),""))</f>
        <v>1</v>
      </c>
      <c r="C5" s="7" t="s">
        <v>21</v>
      </c>
      <c r="D5" s="7">
        <v>4</v>
      </c>
      <c r="E5" s="8" t="s">
        <v>15</v>
      </c>
      <c r="F5" s="7" t="s">
        <v>2</v>
      </c>
      <c r="G5" s="7">
        <v>1</v>
      </c>
      <c r="H5" s="7">
        <v>1</v>
      </c>
      <c r="I5" s="21" t="s">
        <v>9</v>
      </c>
      <c r="J5" s="21"/>
      <c r="K5" s="20" t="s">
        <v>9</v>
      </c>
      <c r="L5" s="20"/>
    </row>
    <row r="6" spans="1:12" x14ac:dyDescent="0.25">
      <c r="A6" s="8"/>
      <c r="B6" s="7"/>
      <c r="C6" s="7" t="s">
        <v>21</v>
      </c>
      <c r="D6" s="7">
        <v>4</v>
      </c>
      <c r="E6" s="8" t="s">
        <v>22</v>
      </c>
      <c r="F6" s="7" t="s">
        <v>12</v>
      </c>
      <c r="G6" s="7">
        <v>1</v>
      </c>
      <c r="H6" s="7">
        <v>3</v>
      </c>
      <c r="I6" s="22" t="s">
        <v>10</v>
      </c>
      <c r="J6" s="22"/>
      <c r="K6" s="22"/>
      <c r="L6" s="22"/>
    </row>
    <row r="7" spans="1:12" x14ac:dyDescent="0.25">
      <c r="A7" s="8"/>
      <c r="B7" s="7"/>
      <c r="C7" s="7" t="s">
        <v>21</v>
      </c>
      <c r="D7" s="7">
        <v>4</v>
      </c>
      <c r="E7" s="8" t="s">
        <v>23</v>
      </c>
      <c r="F7" s="7" t="s">
        <v>13</v>
      </c>
      <c r="G7" s="7">
        <v>2</v>
      </c>
      <c r="H7" s="7">
        <v>1</v>
      </c>
    </row>
    <row r="8" spans="1:12" x14ac:dyDescent="0.25">
      <c r="A8" s="8"/>
      <c r="B8" s="7"/>
      <c r="C8" s="7" t="s">
        <v>21</v>
      </c>
      <c r="D8" s="7">
        <v>4</v>
      </c>
      <c r="E8" s="8" t="s">
        <v>24</v>
      </c>
      <c r="F8" s="7" t="s">
        <v>14</v>
      </c>
      <c r="G8" s="7">
        <v>2</v>
      </c>
      <c r="H8" s="7">
        <v>3</v>
      </c>
    </row>
    <row r="9" spans="1:12" x14ac:dyDescent="0.25">
      <c r="A9" s="8"/>
      <c r="B9" s="7"/>
      <c r="C9" s="7" t="s">
        <v>21</v>
      </c>
      <c r="D9" s="7">
        <v>4</v>
      </c>
      <c r="E9" s="8" t="s">
        <v>16</v>
      </c>
      <c r="F9" s="7" t="s">
        <v>2</v>
      </c>
      <c r="G9" s="7">
        <v>3</v>
      </c>
      <c r="H9" s="7">
        <v>1</v>
      </c>
    </row>
    <row r="10" spans="1:12" x14ac:dyDescent="0.25">
      <c r="A10" s="8"/>
      <c r="B10" s="7"/>
      <c r="C10" s="7" t="s">
        <v>21</v>
      </c>
      <c r="D10" s="7">
        <v>4</v>
      </c>
      <c r="E10" s="8" t="s">
        <v>17</v>
      </c>
      <c r="F10" s="7" t="s">
        <v>12</v>
      </c>
      <c r="G10" s="7">
        <v>3</v>
      </c>
      <c r="H10" s="7">
        <v>3</v>
      </c>
    </row>
    <row r="11" spans="1:12" x14ac:dyDescent="0.25">
      <c r="A11" s="8"/>
      <c r="B11" s="7"/>
      <c r="C11" s="7" t="s">
        <v>21</v>
      </c>
      <c r="D11" s="7">
        <v>4</v>
      </c>
      <c r="E11" s="8" t="s">
        <v>18</v>
      </c>
      <c r="F11" s="7" t="s">
        <v>13</v>
      </c>
      <c r="G11" s="7">
        <v>4</v>
      </c>
      <c r="H11" s="7">
        <v>1</v>
      </c>
    </row>
    <row r="12" spans="1:12" x14ac:dyDescent="0.25">
      <c r="A12" s="8"/>
      <c r="B12" s="7"/>
      <c r="C12" s="7" t="s">
        <v>21</v>
      </c>
      <c r="D12" s="7">
        <v>4</v>
      </c>
      <c r="E12" s="8" t="s">
        <v>19</v>
      </c>
      <c r="F12" s="7" t="s">
        <v>14</v>
      </c>
      <c r="G12" s="7">
        <v>4</v>
      </c>
      <c r="H12" s="7">
        <v>3</v>
      </c>
    </row>
    <row r="13" spans="1:12" ht="15.75" x14ac:dyDescent="0.25">
      <c r="A13" s="15">
        <f>IF(B13=1,COUNTIF($B$5:B13,1),"")</f>
        <v>2</v>
      </c>
      <c r="B13" s="15">
        <f>--ISNUMBER(IFERROR(SEARCH(Index!$C$2,C13,1),""))</f>
        <v>1</v>
      </c>
      <c r="C13" s="14" t="s">
        <v>45</v>
      </c>
      <c r="D13" s="14">
        <v>3</v>
      </c>
      <c r="E13" s="18" t="s">
        <v>50</v>
      </c>
      <c r="F13" s="14" t="s">
        <v>51</v>
      </c>
      <c r="G13" s="14">
        <v>1</v>
      </c>
      <c r="H13" s="14">
        <v>1</v>
      </c>
    </row>
  </sheetData>
  <mergeCells count="4">
    <mergeCell ref="I4:L4"/>
    <mergeCell ref="K5:L5"/>
    <mergeCell ref="I5:J5"/>
    <mergeCell ref="I6:L6"/>
  </mergeCells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5926B-BC39-450E-897D-27FFAB8ED0C4}">
  <sheetPr codeName="Hoja5"/>
  <dimension ref="A1:L14"/>
  <sheetViews>
    <sheetView workbookViewId="0">
      <selection activeCell="L3" sqref="L3"/>
    </sheetView>
  </sheetViews>
  <sheetFormatPr baseColWidth="10" defaultRowHeight="15" x14ac:dyDescent="0.25"/>
  <cols>
    <col min="5" max="5" width="19.7109375" customWidth="1"/>
    <col min="6" max="6" width="13.140625" customWidth="1"/>
    <col min="9" max="9" width="11.85546875" bestFit="1" customWidth="1"/>
  </cols>
  <sheetData>
    <row r="1" spans="1:12" x14ac:dyDescent="0.25">
      <c r="A1" s="7" t="s">
        <v>28</v>
      </c>
      <c r="B1" s="7" t="s">
        <v>29</v>
      </c>
    </row>
    <row r="2" spans="1:12" x14ac:dyDescent="0.25">
      <c r="A2" s="7">
        <v>13</v>
      </c>
      <c r="B2" s="7" t="s">
        <v>30</v>
      </c>
      <c r="E2" t="s">
        <v>39</v>
      </c>
      <c r="F2">
        <v>13</v>
      </c>
      <c r="H2" t="s">
        <v>40</v>
      </c>
      <c r="I2" s="1">
        <f>IF($A$2:$A$18=$F$2,ROW())</f>
        <v>2</v>
      </c>
      <c r="L2" t="str">
        <f>INDEX($B$1:$B$10,SMALL($I$2:$I$14,ROW()-1))</f>
        <v>Ariana</v>
      </c>
    </row>
    <row r="3" spans="1:12" x14ac:dyDescent="0.25">
      <c r="A3" s="7">
        <v>14</v>
      </c>
      <c r="B3" s="7" t="s">
        <v>31</v>
      </c>
      <c r="I3" s="1" t="b">
        <f t="shared" ref="I3:I14" si="0">IF($A$2:$A$18=$F$2,ROW())</f>
        <v>0</v>
      </c>
      <c r="L3" t="str">
        <f t="shared" ref="L3:L13" si="1">INDEX($B$1:$B$10,SMALL($I$2:$I$14,ROW()-1))</f>
        <v>Lucia</v>
      </c>
    </row>
    <row r="4" spans="1:12" x14ac:dyDescent="0.25">
      <c r="A4" s="7">
        <v>13</v>
      </c>
      <c r="B4" s="7" t="s">
        <v>32</v>
      </c>
      <c r="I4" s="1">
        <f t="shared" si="0"/>
        <v>4</v>
      </c>
      <c r="L4" t="str">
        <f t="shared" si="1"/>
        <v>Rubi</v>
      </c>
    </row>
    <row r="5" spans="1:12" x14ac:dyDescent="0.25">
      <c r="A5" s="7">
        <v>14</v>
      </c>
      <c r="B5" s="7" t="s">
        <v>33</v>
      </c>
      <c r="I5" s="1" t="b">
        <f t="shared" si="0"/>
        <v>0</v>
      </c>
      <c r="L5" t="e">
        <f t="shared" si="1"/>
        <v>#NUM!</v>
      </c>
    </row>
    <row r="6" spans="1:12" x14ac:dyDescent="0.25">
      <c r="A6" s="7">
        <v>12</v>
      </c>
      <c r="B6" s="7" t="s">
        <v>34</v>
      </c>
      <c r="I6" s="1" t="b">
        <f t="shared" si="0"/>
        <v>0</v>
      </c>
      <c r="L6" t="e">
        <f t="shared" si="1"/>
        <v>#NUM!</v>
      </c>
    </row>
    <row r="7" spans="1:12" x14ac:dyDescent="0.25">
      <c r="A7" s="7">
        <v>14</v>
      </c>
      <c r="B7" s="7" t="s">
        <v>35</v>
      </c>
      <c r="I7" s="1" t="b">
        <f t="shared" si="0"/>
        <v>0</v>
      </c>
      <c r="L7" t="e">
        <f t="shared" si="1"/>
        <v>#NUM!</v>
      </c>
    </row>
    <row r="8" spans="1:12" x14ac:dyDescent="0.25">
      <c r="A8" s="7">
        <v>13</v>
      </c>
      <c r="B8" s="7" t="s">
        <v>36</v>
      </c>
      <c r="I8" s="1">
        <f t="shared" si="0"/>
        <v>8</v>
      </c>
      <c r="L8" t="e">
        <f t="shared" si="1"/>
        <v>#NUM!</v>
      </c>
    </row>
    <row r="9" spans="1:12" x14ac:dyDescent="0.25">
      <c r="A9" s="7">
        <v>12</v>
      </c>
      <c r="B9" s="7" t="s">
        <v>37</v>
      </c>
      <c r="I9" s="1" t="b">
        <f t="shared" si="0"/>
        <v>0</v>
      </c>
      <c r="L9" t="e">
        <f t="shared" si="1"/>
        <v>#NUM!</v>
      </c>
    </row>
    <row r="10" spans="1:12" x14ac:dyDescent="0.25">
      <c r="A10" s="7">
        <v>14</v>
      </c>
      <c r="B10" s="7" t="s">
        <v>38</v>
      </c>
      <c r="I10" s="1" t="b">
        <f t="shared" si="0"/>
        <v>0</v>
      </c>
      <c r="L10" t="e">
        <f t="shared" si="1"/>
        <v>#NUM!</v>
      </c>
    </row>
    <row r="11" spans="1:12" x14ac:dyDescent="0.25">
      <c r="I11" s="1" t="b">
        <f t="shared" si="0"/>
        <v>0</v>
      </c>
      <c r="L11" t="e">
        <f t="shared" si="1"/>
        <v>#NUM!</v>
      </c>
    </row>
    <row r="12" spans="1:12" x14ac:dyDescent="0.25">
      <c r="I12" s="1" t="b">
        <f t="shared" si="0"/>
        <v>0</v>
      </c>
      <c r="L12" t="e">
        <f t="shared" si="1"/>
        <v>#NUM!</v>
      </c>
    </row>
    <row r="13" spans="1:12" x14ac:dyDescent="0.25">
      <c r="I13" s="1" t="b">
        <f t="shared" si="0"/>
        <v>0</v>
      </c>
      <c r="L13" t="e">
        <f t="shared" si="1"/>
        <v>#NUM!</v>
      </c>
    </row>
    <row r="14" spans="1:12" x14ac:dyDescent="0.25">
      <c r="I14" s="1" t="b">
        <f t="shared" si="0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Index</vt:lpstr>
      <vt:lpstr>IMPRIMIR</vt:lpstr>
      <vt:lpstr>Tabla de la cancion</vt:lpstr>
      <vt:lpstr>OPERACIONES DE FORMULAS</vt:lpstr>
      <vt:lpstr>CANCIONES</vt:lpstr>
      <vt:lpstr>Formula de busqueda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Root</dc:creator>
  <cp:lastModifiedBy>usuario</cp:lastModifiedBy>
  <dcterms:created xsi:type="dcterms:W3CDTF">2015-06-05T18:17:20Z</dcterms:created>
  <dcterms:modified xsi:type="dcterms:W3CDTF">2020-04-27T15:31:50Z</dcterms:modified>
</cp:coreProperties>
</file>